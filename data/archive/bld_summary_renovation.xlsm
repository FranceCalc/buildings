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UC\buildings\data\archive\"/>
    </mc:Choice>
  </mc:AlternateContent>
  <xr:revisionPtr revIDLastSave="0" documentId="13_ncr:1_{C327E799-1986-4BAF-B308-01C953BC92CA}" xr6:coauthVersionLast="45" xr6:coauthVersionMax="45" xr10:uidLastSave="{00000000-0000-0000-0000-000000000000}"/>
  <bookViews>
    <workbookView xWindow="28680" yWindow="-120" windowWidth="29040" windowHeight="15990" firstSheet="6" activeTab="6" xr2:uid="{BC47792B-8CFB-4A69-847D-2E6707EAE084}"/>
  </bookViews>
  <sheets>
    <sheet name="overview" sheetId="1" state="hidden" r:id="rId1"/>
    <sheet name="energy need" sheetId="2" state="hidden" r:id="rId2"/>
    <sheet name="annual share" sheetId="3" state="hidden" r:id="rId3"/>
    <sheet name="cost" sheetId="4" state="hidden" r:id="rId4"/>
    <sheet name="information on data" sheetId="6" state="hidden" r:id="rId5"/>
    <sheet name="renovation scheme" sheetId="5" state="hidden" r:id="rId6"/>
    <sheet name="building envelope" sheetId="7" r:id="rId7"/>
    <sheet name="technology and fuel" sheetId="8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9" i="7" l="1"/>
  <c r="AF8" i="7"/>
  <c r="AF7" i="7"/>
  <c r="AF6" i="7"/>
  <c r="M37" i="8"/>
  <c r="M27" i="8"/>
  <c r="M17" i="8"/>
  <c r="M7" i="8"/>
  <c r="O27" i="8" l="1"/>
  <c r="O17" i="8"/>
  <c r="O7" i="8"/>
  <c r="G37" i="8"/>
  <c r="I37" i="8"/>
  <c r="Y10" i="8" s="1"/>
  <c r="G27" i="8"/>
  <c r="I27" i="8"/>
  <c r="Y9" i="8" s="1"/>
  <c r="G17" i="8"/>
  <c r="I17" i="8"/>
  <c r="Y8" i="8" s="1"/>
  <c r="G7" i="8"/>
  <c r="I7" i="8"/>
  <c r="Y7" i="8" s="1"/>
  <c r="E6" i="8"/>
  <c r="I43" i="8"/>
  <c r="H43" i="8"/>
  <c r="G43" i="8"/>
  <c r="F43" i="8"/>
  <c r="E43" i="8"/>
  <c r="D43" i="8"/>
  <c r="C43" i="8"/>
  <c r="B43" i="8"/>
  <c r="I42" i="8"/>
  <c r="H42" i="8"/>
  <c r="G42" i="8"/>
  <c r="F42" i="8"/>
  <c r="E42" i="8"/>
  <c r="D42" i="8"/>
  <c r="C42" i="8"/>
  <c r="B42" i="8"/>
  <c r="I41" i="8"/>
  <c r="H41" i="8"/>
  <c r="G41" i="8"/>
  <c r="F41" i="8"/>
  <c r="E41" i="8"/>
  <c r="D41" i="8"/>
  <c r="C41" i="8"/>
  <c r="B41" i="8"/>
  <c r="I40" i="8"/>
  <c r="H40" i="8"/>
  <c r="G40" i="8"/>
  <c r="F40" i="8"/>
  <c r="E40" i="8"/>
  <c r="D40" i="8"/>
  <c r="C40" i="8"/>
  <c r="B40" i="8"/>
  <c r="I39" i="8"/>
  <c r="H39" i="8"/>
  <c r="G39" i="8"/>
  <c r="F39" i="8"/>
  <c r="E39" i="8"/>
  <c r="D39" i="8"/>
  <c r="B39" i="8"/>
  <c r="I38" i="8"/>
  <c r="H38" i="8"/>
  <c r="G38" i="8"/>
  <c r="F38" i="8"/>
  <c r="E38" i="8"/>
  <c r="D38" i="8"/>
  <c r="C38" i="8"/>
  <c r="D37" i="8"/>
  <c r="C37" i="8"/>
  <c r="B37" i="8"/>
  <c r="D36" i="8"/>
  <c r="C36" i="8"/>
  <c r="B36" i="8"/>
  <c r="I33" i="8"/>
  <c r="I32" i="8"/>
  <c r="I31" i="8"/>
  <c r="I30" i="8"/>
  <c r="I29" i="8"/>
  <c r="H33" i="8"/>
  <c r="H32" i="8"/>
  <c r="H31" i="8"/>
  <c r="H30" i="8"/>
  <c r="H29" i="8"/>
  <c r="G33" i="8"/>
  <c r="G32" i="8"/>
  <c r="G31" i="8"/>
  <c r="G30" i="8"/>
  <c r="G29" i="8"/>
  <c r="F33" i="8"/>
  <c r="F32" i="8"/>
  <c r="F31" i="8"/>
  <c r="F30" i="8"/>
  <c r="F29" i="8"/>
  <c r="E33" i="8"/>
  <c r="D33" i="8"/>
  <c r="C33" i="8"/>
  <c r="B33" i="8"/>
  <c r="I28" i="8"/>
  <c r="H28" i="8"/>
  <c r="G28" i="8"/>
  <c r="F28" i="8"/>
  <c r="E28" i="8"/>
  <c r="D28" i="8"/>
  <c r="C28" i="8"/>
  <c r="E32" i="8"/>
  <c r="D32" i="8"/>
  <c r="C32" i="8"/>
  <c r="B32" i="8"/>
  <c r="E31" i="8"/>
  <c r="D31" i="8"/>
  <c r="C31" i="8"/>
  <c r="B31" i="8"/>
  <c r="E30" i="8"/>
  <c r="D30" i="8"/>
  <c r="C30" i="8"/>
  <c r="B30" i="8"/>
  <c r="E29" i="8"/>
  <c r="D29" i="8"/>
  <c r="D27" i="8"/>
  <c r="D26" i="8"/>
  <c r="B9" i="8"/>
  <c r="B6" i="8"/>
  <c r="C6" i="8"/>
  <c r="D6" i="8"/>
  <c r="C8" i="8"/>
  <c r="D8" i="8"/>
  <c r="E8" i="8"/>
  <c r="F8" i="8"/>
  <c r="G8" i="8"/>
  <c r="H8" i="8"/>
  <c r="I8" i="8"/>
  <c r="B16" i="8"/>
  <c r="C16" i="8"/>
  <c r="D16" i="8"/>
  <c r="C18" i="8"/>
  <c r="D18" i="8"/>
  <c r="E18" i="8"/>
  <c r="F18" i="8"/>
  <c r="G18" i="8"/>
  <c r="H18" i="8"/>
  <c r="I18" i="8"/>
  <c r="B26" i="8"/>
  <c r="C26" i="8"/>
  <c r="C27" i="8"/>
  <c r="B27" i="8"/>
  <c r="D17" i="8"/>
  <c r="C17" i="8"/>
  <c r="B17" i="8"/>
  <c r="L17" i="8" s="1"/>
  <c r="D7" i="8"/>
  <c r="C7" i="8"/>
  <c r="B7" i="8"/>
  <c r="I23" i="8"/>
  <c r="H23" i="8"/>
  <c r="G23" i="8"/>
  <c r="F23" i="8"/>
  <c r="E23" i="8"/>
  <c r="D23" i="8"/>
  <c r="C23" i="8"/>
  <c r="B23" i="8"/>
  <c r="I13" i="8"/>
  <c r="H13" i="8"/>
  <c r="G13" i="8"/>
  <c r="F13" i="8"/>
  <c r="E13" i="8"/>
  <c r="D13" i="8"/>
  <c r="C13" i="8"/>
  <c r="B13" i="8"/>
  <c r="I22" i="8"/>
  <c r="H22" i="8"/>
  <c r="G22" i="8"/>
  <c r="F22" i="8"/>
  <c r="E22" i="8"/>
  <c r="D22" i="8"/>
  <c r="C22" i="8"/>
  <c r="B22" i="8"/>
  <c r="I12" i="8"/>
  <c r="H12" i="8"/>
  <c r="G12" i="8"/>
  <c r="F12" i="8"/>
  <c r="E12" i="8"/>
  <c r="D12" i="8"/>
  <c r="C12" i="8"/>
  <c r="B12" i="8"/>
  <c r="I21" i="8"/>
  <c r="H21" i="8"/>
  <c r="G21" i="8"/>
  <c r="F21" i="8"/>
  <c r="E21" i="8"/>
  <c r="D21" i="8"/>
  <c r="C21" i="8"/>
  <c r="B21" i="8"/>
  <c r="I11" i="8"/>
  <c r="H11" i="8"/>
  <c r="G11" i="8"/>
  <c r="F11" i="8"/>
  <c r="E11" i="8"/>
  <c r="D11" i="8"/>
  <c r="C11" i="8"/>
  <c r="B11" i="8"/>
  <c r="I20" i="8"/>
  <c r="H20" i="8"/>
  <c r="G20" i="8"/>
  <c r="F20" i="8"/>
  <c r="E20" i="8"/>
  <c r="D20" i="8"/>
  <c r="C20" i="8"/>
  <c r="B20" i="8"/>
  <c r="I10" i="8"/>
  <c r="H10" i="8"/>
  <c r="G10" i="8"/>
  <c r="F10" i="8"/>
  <c r="E10" i="8"/>
  <c r="D10" i="8"/>
  <c r="C10" i="8"/>
  <c r="B10" i="8"/>
  <c r="B29" i="8"/>
  <c r="I19" i="8"/>
  <c r="H19" i="8"/>
  <c r="G19" i="8"/>
  <c r="F19" i="8"/>
  <c r="E19" i="8"/>
  <c r="D19" i="8"/>
  <c r="B19" i="8"/>
  <c r="I9" i="8"/>
  <c r="H9" i="8"/>
  <c r="G9" i="8"/>
  <c r="F9" i="8"/>
  <c r="E9" i="8"/>
  <c r="D9" i="8"/>
  <c r="T6" i="8"/>
  <c r="U6" i="8" s="1"/>
  <c r="V6" i="8" s="1"/>
  <c r="W6" i="8" s="1"/>
  <c r="X6" i="8" s="1"/>
  <c r="Y6" i="8" s="1"/>
  <c r="P17" i="8" l="1"/>
  <c r="Q17" i="8" s="1"/>
  <c r="P7" i="8"/>
  <c r="Q7" i="8" s="1"/>
  <c r="L37" i="8"/>
  <c r="N37" i="8" s="1"/>
  <c r="P27" i="8"/>
  <c r="Q27" i="8" s="1"/>
  <c r="P37" i="8"/>
  <c r="Q37" i="8" s="1"/>
  <c r="L7" i="8"/>
  <c r="N17" i="8"/>
  <c r="N7" i="8"/>
  <c r="L27" i="8"/>
  <c r="N27" i="8" s="1"/>
  <c r="T9" i="8"/>
  <c r="U9" i="8" s="1"/>
  <c r="V9" i="8" s="1"/>
  <c r="W9" i="8" s="1"/>
  <c r="X9" i="8" s="1"/>
  <c r="T8" i="8"/>
  <c r="U8" i="8" s="1"/>
  <c r="V8" i="8" s="1"/>
  <c r="W8" i="8" s="1"/>
  <c r="X8" i="8" s="1"/>
  <c r="T10" i="8" l="1"/>
  <c r="U10" i="8" s="1"/>
  <c r="V10" i="8" s="1"/>
  <c r="W10" i="8" s="1"/>
  <c r="X10" i="8" s="1"/>
  <c r="T7" i="8"/>
  <c r="U7" i="8" s="1"/>
  <c r="V7" i="8" s="1"/>
  <c r="W7" i="8" s="1"/>
  <c r="X7" i="8" s="1"/>
  <c r="AL5" i="7" l="1"/>
  <c r="AM5" i="7" s="1"/>
  <c r="AN5" i="7" s="1"/>
  <c r="AO5" i="7" s="1"/>
  <c r="AP5" i="7" s="1"/>
  <c r="AQ5" i="7" s="1"/>
  <c r="AC9" i="7" l="1"/>
  <c r="AC8" i="7"/>
  <c r="AB9" i="7"/>
  <c r="AA9" i="7"/>
  <c r="Z9" i="7"/>
  <c r="AB8" i="7"/>
  <c r="AA8" i="7"/>
  <c r="Z8" i="7"/>
  <c r="AC7" i="7"/>
  <c r="AB7" i="7"/>
  <c r="AA7" i="7"/>
  <c r="Z7" i="7"/>
  <c r="AC6" i="7"/>
  <c r="AB6" i="7"/>
  <c r="AA6" i="7"/>
  <c r="Z6" i="7"/>
  <c r="Z5" i="7"/>
  <c r="X9" i="7" l="1"/>
  <c r="X8" i="7"/>
  <c r="X7" i="7"/>
  <c r="X6" i="7"/>
  <c r="X5" i="7"/>
  <c r="R9" i="7"/>
  <c r="R8" i="7"/>
  <c r="R7" i="7"/>
  <c r="R6" i="7"/>
  <c r="R5" i="7"/>
  <c r="W9" i="7"/>
  <c r="V9" i="7"/>
  <c r="U9" i="7"/>
  <c r="T9" i="7"/>
  <c r="L9" i="7"/>
  <c r="K9" i="7"/>
  <c r="J9" i="7"/>
  <c r="I9" i="7"/>
  <c r="AH9" i="7" s="1"/>
  <c r="H9" i="7"/>
  <c r="L8" i="7"/>
  <c r="K8" i="7"/>
  <c r="J8" i="7"/>
  <c r="I8" i="7"/>
  <c r="AH8" i="7" s="1"/>
  <c r="H8" i="7"/>
  <c r="L7" i="7"/>
  <c r="K7" i="7"/>
  <c r="J7" i="7"/>
  <c r="I7" i="7"/>
  <c r="AH7" i="7" s="1"/>
  <c r="H7" i="7"/>
  <c r="L6" i="7"/>
  <c r="K6" i="7"/>
  <c r="J6" i="7"/>
  <c r="I6" i="7"/>
  <c r="AH6" i="7" s="1"/>
  <c r="H6" i="7"/>
  <c r="L5" i="7"/>
  <c r="K5" i="7"/>
  <c r="J5" i="7"/>
  <c r="I5" i="7"/>
  <c r="H5" i="7"/>
  <c r="F9" i="7"/>
  <c r="E9" i="7"/>
  <c r="D9" i="7"/>
  <c r="C9" i="7"/>
  <c r="AE9" i="7" s="1"/>
  <c r="B9" i="7"/>
  <c r="F8" i="7"/>
  <c r="E8" i="7"/>
  <c r="D8" i="7"/>
  <c r="C8" i="7"/>
  <c r="AE8" i="7" s="1"/>
  <c r="B8" i="7"/>
  <c r="F7" i="7"/>
  <c r="E7" i="7"/>
  <c r="D7" i="7"/>
  <c r="C7" i="7"/>
  <c r="AE7" i="7" s="1"/>
  <c r="B7" i="7"/>
  <c r="F6" i="7"/>
  <c r="E6" i="7"/>
  <c r="D6" i="7"/>
  <c r="C6" i="7"/>
  <c r="AE6" i="7" s="1"/>
  <c r="B6" i="7"/>
  <c r="F5" i="7"/>
  <c r="E5" i="7"/>
  <c r="D5" i="7"/>
  <c r="C5" i="7"/>
  <c r="B5" i="7"/>
  <c r="Q9" i="7"/>
  <c r="P9" i="7"/>
  <c r="O9" i="7"/>
  <c r="N9" i="7"/>
  <c r="Q8" i="7"/>
  <c r="P8" i="7"/>
  <c r="O8" i="7"/>
  <c r="N8" i="7"/>
  <c r="Q7" i="7"/>
  <c r="P7" i="7"/>
  <c r="O7" i="7"/>
  <c r="N7" i="7"/>
  <c r="Q6" i="7"/>
  <c r="P6" i="7"/>
  <c r="O6" i="7"/>
  <c r="N6" i="7"/>
  <c r="Q5" i="7"/>
  <c r="P5" i="7"/>
  <c r="O5" i="7"/>
  <c r="N5" i="7"/>
  <c r="AQ9" i="7" l="1"/>
  <c r="AL9" i="7" s="1"/>
  <c r="AM9" i="7" s="1"/>
  <c r="AN9" i="7" s="1"/>
  <c r="AO9" i="7" s="1"/>
  <c r="AP9" i="7" s="1"/>
  <c r="AG9" i="7"/>
  <c r="AI9" i="7" l="1"/>
  <c r="W8" i="7"/>
  <c r="V8" i="7"/>
  <c r="U8" i="7"/>
  <c r="T8" i="7"/>
  <c r="W7" i="7"/>
  <c r="V7" i="7"/>
  <c r="U7" i="7"/>
  <c r="T7" i="7"/>
  <c r="W6" i="7"/>
  <c r="V6" i="7"/>
  <c r="AQ6" i="7" s="1"/>
  <c r="U6" i="7"/>
  <c r="T6" i="7"/>
  <c r="W5" i="7"/>
  <c r="V5" i="7"/>
  <c r="U5" i="7"/>
  <c r="T5" i="7"/>
  <c r="AQ7" i="7" l="1"/>
  <c r="AL7" i="7" s="1"/>
  <c r="AM7" i="7" s="1"/>
  <c r="AN7" i="7" s="1"/>
  <c r="AO7" i="7" s="1"/>
  <c r="AP7" i="7" s="1"/>
  <c r="AL6" i="7"/>
  <c r="AM6" i="7" s="1"/>
  <c r="AN6" i="7" s="1"/>
  <c r="AO6" i="7" s="1"/>
  <c r="AP6" i="7" s="1"/>
  <c r="AQ8" i="7"/>
  <c r="AL8" i="7" s="1"/>
  <c r="AM8" i="7" s="1"/>
  <c r="AN8" i="7" s="1"/>
  <c r="AO8" i="7" s="1"/>
  <c r="AP8" i="7" s="1"/>
  <c r="AG6" i="7"/>
  <c r="AI6" i="7" s="1"/>
  <c r="AG7" i="7"/>
  <c r="AI7" i="7" s="1"/>
  <c r="AG8" i="7"/>
  <c r="AI8" i="7" s="1"/>
  <c r="N10" i="5"/>
  <c r="M10" i="5"/>
  <c r="L10" i="5"/>
  <c r="K10" i="5"/>
  <c r="J10" i="5"/>
  <c r="I10" i="5"/>
  <c r="H10" i="5"/>
  <c r="N9" i="5"/>
  <c r="M9" i="5"/>
  <c r="L9" i="5"/>
  <c r="K9" i="5"/>
  <c r="J9" i="5"/>
  <c r="I9" i="5"/>
  <c r="H9" i="5"/>
  <c r="N8" i="5"/>
  <c r="M8" i="5"/>
  <c r="L8" i="5"/>
  <c r="K8" i="5"/>
  <c r="J8" i="5"/>
  <c r="I8" i="5"/>
  <c r="H8" i="5"/>
  <c r="C8" i="6"/>
  <c r="C3" i="6"/>
  <c r="C5" i="6"/>
  <c r="C6" i="6"/>
  <c r="C4" i="6"/>
  <c r="C7" i="6"/>
</calcChain>
</file>

<file path=xl/sharedStrings.xml><?xml version="1.0" encoding="utf-8"?>
<sst xmlns="http://schemas.openxmlformats.org/spreadsheetml/2006/main" count="166" uniqueCount="89">
  <si>
    <t>renovation category</t>
  </si>
  <si>
    <t>share of annual renovation</t>
  </si>
  <si>
    <t>energy need achieved</t>
  </si>
  <si>
    <t>cost</t>
  </si>
  <si>
    <t>Country</t>
  </si>
  <si>
    <t>Construction period</t>
  </si>
  <si>
    <t>Year</t>
  </si>
  <si>
    <t>sfh</t>
  </si>
  <si>
    <t>mfh</t>
  </si>
  <si>
    <t>sfh-shl</t>
  </si>
  <si>
    <t>sfh-med</t>
  </si>
  <si>
    <t>sfh-dep</t>
  </si>
  <si>
    <t>mfh-shl</t>
  </si>
  <si>
    <t>mfh-med</t>
  </si>
  <si>
    <t>mfh-dep</t>
  </si>
  <si>
    <t>1800-2010</t>
  </si>
  <si>
    <t>Austria</t>
  </si>
  <si>
    <t>…</t>
  </si>
  <si>
    <t>definition</t>
  </si>
  <si>
    <t>The renovation categories are definec by:</t>
  </si>
  <si>
    <t>Building the renovation structure</t>
  </si>
  <si>
    <t>reno-depth</t>
  </si>
  <si>
    <t>building-type</t>
  </si>
  <si>
    <t>reno-category</t>
  </si>
  <si>
    <t>shl</t>
  </si>
  <si>
    <t>med</t>
  </si>
  <si>
    <t>dep</t>
  </si>
  <si>
    <t>trade</t>
  </si>
  <si>
    <t>education</t>
  </si>
  <si>
    <t>hotels</t>
  </si>
  <si>
    <t>health</t>
  </si>
  <si>
    <t>offices</t>
  </si>
  <si>
    <t>offices-dep</t>
  </si>
  <si>
    <t>offices-med</t>
  </si>
  <si>
    <t>offices-shl</t>
  </si>
  <si>
    <t>education-dep</t>
  </si>
  <si>
    <t>education-med</t>
  </si>
  <si>
    <t>education-shl</t>
  </si>
  <si>
    <t>health-dep</t>
  </si>
  <si>
    <t>health-med</t>
  </si>
  <si>
    <t>health-shl</t>
  </si>
  <si>
    <t>hotels-dep</t>
  </si>
  <si>
    <t>hotels-med</t>
  </si>
  <si>
    <t>hotels-shl</t>
  </si>
  <si>
    <t>trade-dep</t>
  </si>
  <si>
    <t>trade-med</t>
  </si>
  <si>
    <t>trade-shl</t>
  </si>
  <si>
    <t>For the current definition and categorisation of the renovations, the renovation depth was defined for each building-type.</t>
  </si>
  <si>
    <t>building-destruction-rate</t>
  </si>
  <si>
    <t>building-renovation-rate</t>
  </si>
  <si>
    <t>building-renovation-mix</t>
  </si>
  <si>
    <t>building-renovation-cost</t>
  </si>
  <si>
    <t>building-renovation-energy-achieved</t>
  </si>
  <si>
    <t>Percentage of buildings that are destructed within that year. Basis are all buildings existing in that year.</t>
  </si>
  <si>
    <t>Mix of different renovation options with different ambition regarding the energy saving.</t>
  </si>
  <si>
    <t>Definition of the renovation depth categories by setting the energy need as a goal to achieved at each depth category.</t>
  </si>
  <si>
    <t>Cost assiciated with achieving the defined energy need for each renovation depth category.
The cost are total cost for the renovations, including the maintenance cost.</t>
  </si>
  <si>
    <t>start</t>
  </si>
  <si>
    <t>end</t>
  </si>
  <si>
    <t>Summary of construction mix</t>
  </si>
  <si>
    <t>Summary of renovation mix</t>
  </si>
  <si>
    <t>Summary of demolition rate</t>
  </si>
  <si>
    <t>Summary of renovation rate</t>
  </si>
  <si>
    <t>The annual renovation rate is 1%. 80% of the renovations are shallow (-30%), 15% are medium (-40%) and 5% are deep (-60%). 80% of construction has the lowest level of efficiency, 15% is medium efficient and 5% is highly efficient. The demolition rate is 0.1%/annum.</t>
  </si>
  <si>
    <t>reno rate</t>
  </si>
  <si>
    <t>TEXT PARTS</t>
  </si>
  <si>
    <t>DATA PARTS</t>
  </si>
  <si>
    <t>reno mix</t>
  </si>
  <si>
    <t>new build mix</t>
  </si>
  <si>
    <t>demolition</t>
  </si>
  <si>
    <t>all text parts</t>
  </si>
  <si>
    <t>Summary of construction depth</t>
  </si>
  <si>
    <t>building envelope</t>
  </si>
  <si>
    <t>technology and fuel share</t>
  </si>
  <si>
    <t>=</t>
  </si>
  <si>
    <t>Level 1</t>
  </si>
  <si>
    <t>Level 2</t>
  </si>
  <si>
    <t>Level 3</t>
  </si>
  <si>
    <t>Level 4</t>
  </si>
  <si>
    <t>substitution</t>
  </si>
  <si>
    <t>fossil fuel phase-out</t>
  </si>
  <si>
    <t>Share of fossil (excliding electricity)</t>
  </si>
  <si>
    <t>Fossil fuel phase out only for coal and with exceptions across Europe</t>
  </si>
  <si>
    <t>Full lever description</t>
  </si>
  <si>
    <t>Mouse-over</t>
  </si>
  <si>
    <t>fossil fuel share 2050</t>
  </si>
  <si>
    <t>fossil fuel phase-out description</t>
  </si>
  <si>
    <t>all text parts mouse-over</t>
  </si>
  <si>
    <t xml:space="preserve">Fossil fuel phase-out of 95% for all fuels across Europe,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</si>
</sst>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.##;\-#.##;&quot;&quot;"/>
    <numFmt numFmtId="165" formatCode="0%;#,##0;&quot;&quot;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6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1" applyFont="1"/>
    <xf numFmtId="0" fontId="1" fillId="0" borderId="0" xfId="1"/>
    <xf numFmtId="0" fontId="0" fillId="0" borderId="0" xfId="0" applyAlignment="1">
      <alignment wrapText="1"/>
    </xf>
    <xf numFmtId="0" fontId="2" fillId="0" borderId="0" xfId="0" applyFont="1"/>
    <xf numFmtId="0" fontId="0" fillId="0" borderId="0" xfId="0" applyAlignment="1">
      <alignment horizontal="left" wrapText="1"/>
    </xf>
    <xf numFmtId="0" fontId="0" fillId="0" borderId="0" xfId="0" applyAlignment="1">
      <alignment vertical="center"/>
    </xf>
    <xf numFmtId="0" fontId="2" fillId="0" borderId="0" xfId="0" applyFont="1" applyAlignment="1"/>
    <xf numFmtId="0" fontId="3" fillId="0" borderId="0" xfId="0" applyFont="1" applyAlignment="1"/>
    <xf numFmtId="0" fontId="3" fillId="0" borderId="0" xfId="0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wrapText="1"/>
    </xf>
    <xf numFmtId="164" fontId="0" fillId="0" borderId="0" xfId="0" applyNumberFormat="1" applyFont="1" applyAlignment="1">
      <alignment vertical="center"/>
    </xf>
    <xf numFmtId="164" fontId="0" fillId="0" borderId="0" xfId="0" applyNumberFormat="1"/>
    <xf numFmtId="1" fontId="0" fillId="0" borderId="0" xfId="0" applyNumberFormat="1" applyFont="1" applyAlignment="1">
      <alignment vertical="center"/>
    </xf>
    <xf numFmtId="9" fontId="0" fillId="0" borderId="0" xfId="2" applyFont="1" applyAlignment="1">
      <alignment vertical="center"/>
    </xf>
    <xf numFmtId="9" fontId="0" fillId="0" borderId="0" xfId="2" applyFont="1" applyAlignment="1">
      <alignment horizontal="center" vertical="center"/>
    </xf>
    <xf numFmtId="164" fontId="0" fillId="0" borderId="0" xfId="0" applyNumberFormat="1" applyFont="1" applyAlignment="1">
      <alignment vertical="center" wrapText="1"/>
    </xf>
    <xf numFmtId="9" fontId="4" fillId="0" borderId="0" xfId="2" applyFont="1" applyAlignment="1">
      <alignment vertical="center"/>
    </xf>
    <xf numFmtId="164" fontId="0" fillId="0" borderId="0" xfId="0" applyNumberFormat="1" applyFont="1" applyAlignment="1">
      <alignment horizontal="right" wrapText="1"/>
    </xf>
    <xf numFmtId="9" fontId="4" fillId="0" borderId="0" xfId="2" applyFont="1" applyAlignment="1"/>
    <xf numFmtId="164" fontId="0" fillId="0" borderId="0" xfId="0" quotePrefix="1" applyNumberFormat="1" applyFont="1" applyAlignment="1">
      <alignment horizontal="center"/>
    </xf>
    <xf numFmtId="9" fontId="0" fillId="0" borderId="0" xfId="2" applyFont="1" applyAlignment="1"/>
    <xf numFmtId="164" fontId="0" fillId="0" borderId="0" xfId="0" applyNumberFormat="1" applyFont="1" applyAlignment="1">
      <alignment horizontal="center" vertical="center" wrapText="1"/>
    </xf>
    <xf numFmtId="9" fontId="0" fillId="0" borderId="0" xfId="2" applyFont="1" applyAlignment="1">
      <alignment horizontal="right" wrapText="1"/>
    </xf>
    <xf numFmtId="9" fontId="0" fillId="0" borderId="0" xfId="0" applyNumberFormat="1"/>
    <xf numFmtId="165" fontId="0" fillId="0" borderId="0" xfId="0" applyNumberFormat="1"/>
    <xf numFmtId="0" fontId="5" fillId="0" borderId="0" xfId="0" applyFont="1" applyAlignment="1"/>
    <xf numFmtId="0" fontId="0" fillId="0" borderId="0" xfId="0" applyAlignment="1">
      <alignment horizontal="left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</cellXfs>
  <cellStyles count="3">
    <cellStyle name="Normal" xfId="0" builtinId="0"/>
    <cellStyle name="Normal 2" xfId="1" xr:uid="{FC718B19-4A7D-47C1-AA2B-92CF5B06A5ED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UC/buildings/data/ll_bld_building-renovation-ra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UC/buildings/data/ll_bld_building-demolition-rat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EUC/buildings/data/ll_bld_building-renovation-mix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EUC/buildings/data/ll_bld_building-construction-mix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EUC/buildings/data/ots_bld_building-insulatio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EUC/buildings/data/ll_bld_heatcool-technology-fu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ummary"/>
      <sheetName val="sfh-exi"/>
      <sheetName val="mfh-exi"/>
      <sheetName val="trade-exi"/>
      <sheetName val="education-exi"/>
      <sheetName val="hotels-exi"/>
      <sheetName val="health-exi"/>
      <sheetName val="offices-exi"/>
      <sheetName val="other-exi"/>
      <sheetName val="sfh-shl"/>
      <sheetName val="sfh-med"/>
      <sheetName val="sfh-dep"/>
      <sheetName val="mfh-shl"/>
      <sheetName val="mfh-med"/>
      <sheetName val="mfh-dep"/>
      <sheetName val="offices-shl"/>
      <sheetName val="offices-med"/>
      <sheetName val="offices-dep"/>
      <sheetName val="trade-shl"/>
      <sheetName val="trade-med"/>
      <sheetName val="trade-dep"/>
      <sheetName val="hotels-shl"/>
      <sheetName val="hotels-med"/>
      <sheetName val="hotels-dep"/>
      <sheetName val="health-shl"/>
      <sheetName val="health-med"/>
      <sheetName val="health-dep"/>
      <sheetName val="education-shl"/>
      <sheetName val="education-med"/>
      <sheetName val="education-dep"/>
      <sheetName val="other-shl"/>
      <sheetName val="other-med"/>
      <sheetName val="other-dep"/>
    </sheetNames>
    <sheetDataSet>
      <sheetData sheetId="0">
        <row r="2">
          <cell r="D2" t="str">
            <v>Level</v>
          </cell>
          <cell r="E2" t="str">
            <v>exi</v>
          </cell>
          <cell r="F2" t="str">
            <v>shl</v>
          </cell>
          <cell r="G2" t="str">
            <v>med</v>
          </cell>
          <cell r="H2" t="str">
            <v>dep</v>
          </cell>
        </row>
        <row r="3">
          <cell r="D3">
            <v>1</v>
          </cell>
          <cell r="E3">
            <v>0.01</v>
          </cell>
          <cell r="F3">
            <v>0</v>
          </cell>
          <cell r="G3">
            <v>0</v>
          </cell>
          <cell r="H3">
            <v>0</v>
          </cell>
        </row>
        <row r="4">
          <cell r="D4">
            <v>2</v>
          </cell>
          <cell r="E4">
            <v>1.4999999999999999E-2</v>
          </cell>
          <cell r="F4">
            <v>0</v>
          </cell>
          <cell r="G4">
            <v>0</v>
          </cell>
          <cell r="H4">
            <v>0</v>
          </cell>
        </row>
        <row r="5">
          <cell r="D5">
            <v>3</v>
          </cell>
          <cell r="E5">
            <v>0.02</v>
          </cell>
          <cell r="F5">
            <v>0</v>
          </cell>
          <cell r="G5">
            <v>0</v>
          </cell>
          <cell r="H5">
            <v>0</v>
          </cell>
        </row>
        <row r="6">
          <cell r="D6">
            <v>4</v>
          </cell>
          <cell r="E6">
            <v>0.03</v>
          </cell>
          <cell r="F6">
            <v>0</v>
          </cell>
          <cell r="G6">
            <v>0</v>
          </cell>
          <cell r="H6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ummary"/>
      <sheetName val="sfh-exi"/>
      <sheetName val="mfh-exi"/>
      <sheetName val="trade-exi"/>
      <sheetName val="education-exi"/>
      <sheetName val="hotels-exi"/>
      <sheetName val="health-exi"/>
      <sheetName val="offices-exi"/>
      <sheetName val="other-exi"/>
      <sheetName val="sfh-shl"/>
      <sheetName val="sfh-med"/>
      <sheetName val="sfh-dep"/>
      <sheetName val="mfh-shl"/>
      <sheetName val="mfh-med"/>
      <sheetName val="mfh-dep"/>
      <sheetName val="offices-shl"/>
      <sheetName val="offices-med"/>
      <sheetName val="offices-dep"/>
      <sheetName val="trade-shl"/>
      <sheetName val="trade-med"/>
      <sheetName val="trade-dep"/>
      <sheetName val="hotels-shl"/>
      <sheetName val="hotels-med"/>
      <sheetName val="hotels-dep"/>
      <sheetName val="health-shl"/>
      <sheetName val="health-med"/>
      <sheetName val="health-dep"/>
      <sheetName val="education-shl"/>
      <sheetName val="education-med"/>
      <sheetName val="education-dep"/>
      <sheetName val="other-shl"/>
      <sheetName val="other-med"/>
      <sheetName val="other-dep"/>
    </sheetNames>
    <sheetDataSet>
      <sheetData sheetId="0">
        <row r="2">
          <cell r="D2" t="str">
            <v>Level</v>
          </cell>
          <cell r="E2" t="str">
            <v>exi</v>
          </cell>
          <cell r="F2" t="str">
            <v>shl</v>
          </cell>
          <cell r="G2" t="str">
            <v>med</v>
          </cell>
          <cell r="H2" t="str">
            <v>dep</v>
          </cell>
        </row>
        <row r="3">
          <cell r="D3">
            <v>1</v>
          </cell>
          <cell r="E3">
            <v>1E-3</v>
          </cell>
          <cell r="F3">
            <v>0</v>
          </cell>
          <cell r="G3">
            <v>0</v>
          </cell>
          <cell r="H3">
            <v>0</v>
          </cell>
        </row>
        <row r="4">
          <cell r="D4">
            <v>2</v>
          </cell>
          <cell r="E4">
            <v>4.0000000000000001E-3</v>
          </cell>
          <cell r="F4">
            <v>0</v>
          </cell>
          <cell r="G4">
            <v>0</v>
          </cell>
          <cell r="H4">
            <v>0</v>
          </cell>
        </row>
        <row r="5">
          <cell r="D5">
            <v>3</v>
          </cell>
          <cell r="E5">
            <v>7.0000000000000001E-3</v>
          </cell>
          <cell r="F5">
            <v>0</v>
          </cell>
          <cell r="G5">
            <v>0</v>
          </cell>
          <cell r="H5">
            <v>0</v>
          </cell>
        </row>
        <row r="6">
          <cell r="D6">
            <v>4</v>
          </cell>
          <cell r="E6">
            <v>0.01</v>
          </cell>
          <cell r="F6">
            <v>0</v>
          </cell>
          <cell r="G6">
            <v>0</v>
          </cell>
          <cell r="H6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ummary"/>
      <sheetName val="sfh-exi"/>
      <sheetName val="mfh-exi"/>
      <sheetName val="trade-exi"/>
      <sheetName val="education-exi"/>
      <sheetName val="hotels-exi"/>
      <sheetName val="health-exi"/>
      <sheetName val="offices-exi"/>
      <sheetName val="other-exi"/>
      <sheetName val="sfh-shl"/>
      <sheetName val="sfh-med"/>
      <sheetName val="sfh-dep"/>
      <sheetName val="mfh-shl"/>
      <sheetName val="mfh-med"/>
      <sheetName val="mfh-dep"/>
      <sheetName val="offices-shl"/>
      <sheetName val="offices-med"/>
      <sheetName val="offices-dep"/>
      <sheetName val="trade-shl"/>
      <sheetName val="trade-med"/>
      <sheetName val="trade-dep"/>
      <sheetName val="hotels-shl"/>
      <sheetName val="hotels-med"/>
      <sheetName val="hotels-dep"/>
      <sheetName val="health-shl"/>
      <sheetName val="health-med"/>
      <sheetName val="health-dep"/>
      <sheetName val="education-shl"/>
      <sheetName val="education-med"/>
      <sheetName val="education-dep"/>
      <sheetName val="other-shl"/>
      <sheetName val="other-med"/>
      <sheetName val="other-dep"/>
    </sheetNames>
    <sheetDataSet>
      <sheetData sheetId="0">
        <row r="2">
          <cell r="D2" t="str">
            <v>Level</v>
          </cell>
          <cell r="E2" t="str">
            <v>exi</v>
          </cell>
          <cell r="F2" t="str">
            <v>shl</v>
          </cell>
          <cell r="G2" t="str">
            <v>med</v>
          </cell>
          <cell r="H2" t="str">
            <v>dep</v>
          </cell>
        </row>
        <row r="3">
          <cell r="D3">
            <v>1</v>
          </cell>
          <cell r="E3">
            <v>0</v>
          </cell>
          <cell r="F3">
            <v>0.8</v>
          </cell>
          <cell r="G3">
            <v>0.15</v>
          </cell>
          <cell r="H3">
            <v>0.05</v>
          </cell>
        </row>
        <row r="4">
          <cell r="D4">
            <v>2</v>
          </cell>
          <cell r="E4">
            <v>0</v>
          </cell>
          <cell r="F4">
            <v>0.2</v>
          </cell>
          <cell r="G4">
            <v>0.6</v>
          </cell>
          <cell r="H4">
            <v>0.2</v>
          </cell>
        </row>
        <row r="5">
          <cell r="D5">
            <v>3</v>
          </cell>
          <cell r="E5">
            <v>0</v>
          </cell>
          <cell r="F5">
            <v>0.1</v>
          </cell>
          <cell r="G5">
            <v>0.7</v>
          </cell>
          <cell r="H5">
            <v>0.2</v>
          </cell>
        </row>
        <row r="6">
          <cell r="D6">
            <v>4</v>
          </cell>
          <cell r="E6">
            <v>0</v>
          </cell>
          <cell r="F6">
            <v>0</v>
          </cell>
          <cell r="G6">
            <v>0.3</v>
          </cell>
          <cell r="H6">
            <v>0.7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ummary"/>
      <sheetName val="sfh-exi"/>
      <sheetName val="mfh-exi"/>
      <sheetName val="trade-exi"/>
      <sheetName val="education-exi"/>
      <sheetName val="hotels-exi"/>
      <sheetName val="health-exi"/>
      <sheetName val="offices-exi"/>
      <sheetName val="other-exi"/>
      <sheetName val="sfh-shl"/>
      <sheetName val="sfh-med"/>
      <sheetName val="sfh-dep"/>
      <sheetName val="mfh-shl"/>
      <sheetName val="mfh-med"/>
      <sheetName val="mfh-dep"/>
      <sheetName val="offices-shl"/>
      <sheetName val="offices-med"/>
      <sheetName val="offices-dep"/>
      <sheetName val="trade-shl"/>
      <sheetName val="trade-med"/>
      <sheetName val="trade-dep"/>
      <sheetName val="hotels-shl"/>
      <sheetName val="hotels-med"/>
      <sheetName val="hotels-dep"/>
      <sheetName val="health-shl"/>
      <sheetName val="health-med"/>
      <sheetName val="health-dep"/>
      <sheetName val="education-shl"/>
      <sheetName val="education-med"/>
      <sheetName val="education-dep"/>
      <sheetName val="other-shl"/>
      <sheetName val="other-med"/>
      <sheetName val="other-dep"/>
    </sheetNames>
    <sheetDataSet>
      <sheetData sheetId="0">
        <row r="2">
          <cell r="D2" t="str">
            <v>Level</v>
          </cell>
          <cell r="E2" t="str">
            <v>exi</v>
          </cell>
          <cell r="F2" t="str">
            <v>shl</v>
          </cell>
          <cell r="G2" t="str">
            <v>med</v>
          </cell>
          <cell r="H2" t="str">
            <v>dep</v>
          </cell>
        </row>
        <row r="3">
          <cell r="D3">
            <v>1</v>
          </cell>
          <cell r="E3">
            <v>0</v>
          </cell>
          <cell r="F3">
            <v>0.8</v>
          </cell>
          <cell r="G3">
            <v>0.15</v>
          </cell>
          <cell r="H3">
            <v>0.05</v>
          </cell>
        </row>
        <row r="4">
          <cell r="D4">
            <v>2</v>
          </cell>
          <cell r="E4">
            <v>0</v>
          </cell>
          <cell r="F4">
            <v>0.2</v>
          </cell>
          <cell r="G4">
            <v>0.6</v>
          </cell>
          <cell r="H4">
            <v>0.2</v>
          </cell>
        </row>
        <row r="5">
          <cell r="D5">
            <v>3</v>
          </cell>
          <cell r="E5">
            <v>0</v>
          </cell>
          <cell r="F5">
            <v>0.1</v>
          </cell>
          <cell r="G5">
            <v>0.7</v>
          </cell>
          <cell r="H5">
            <v>0.2</v>
          </cell>
        </row>
        <row r="6">
          <cell r="D6">
            <v>4</v>
          </cell>
          <cell r="E6">
            <v>0</v>
          </cell>
          <cell r="F6">
            <v>0</v>
          </cell>
          <cell r="G6">
            <v>0.3</v>
          </cell>
          <cell r="H6">
            <v>0.7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ummary"/>
      <sheetName val="_all_sh"/>
      <sheetName val="_all_dhw"/>
      <sheetName val="_all_sc"/>
      <sheetName val="sfh"/>
      <sheetName val="mfh"/>
      <sheetName val="offices"/>
      <sheetName val="trade"/>
      <sheetName val="hotels"/>
      <sheetName val="health"/>
      <sheetName val="education"/>
      <sheetName val="other"/>
    </sheetNames>
    <sheetDataSet>
      <sheetData sheetId="0">
        <row r="1">
          <cell r="B1" t="str">
            <v>Reduction in energy need</v>
          </cell>
        </row>
        <row r="2">
          <cell r="B2" t="str">
            <v xml:space="preserve">renovation </v>
          </cell>
          <cell r="C2" t="str">
            <v>construction</v>
          </cell>
        </row>
        <row r="3">
          <cell r="B3" t="str">
            <v>shallow</v>
          </cell>
          <cell r="C3" t="str">
            <v>lowest efficiency</v>
          </cell>
          <cell r="E3">
            <v>-0.30000000000000004</v>
          </cell>
        </row>
        <row r="4">
          <cell r="B4" t="str">
            <v>medium</v>
          </cell>
          <cell r="C4" t="str">
            <v>medium efficiency</v>
          </cell>
          <cell r="E4">
            <v>-0.4</v>
          </cell>
        </row>
        <row r="5">
          <cell r="B5" t="str">
            <v>deep</v>
          </cell>
          <cell r="C5" t="str">
            <v>highly efficient</v>
          </cell>
          <cell r="E5">
            <v>-0.6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ummary"/>
      <sheetName val="_eurostat_input"/>
      <sheetName val="_eurostat_input new"/>
      <sheetName val="_EUROSTAT w JRCuseSPLIT  %"/>
      <sheetName val="_EUROSTAT w JRCuseSPLIT  total"/>
      <sheetName val="_CH_NRG_Bal_T17a"/>
      <sheetName val="_gas_1-pager"/>
      <sheetName val="gas-ff-natural"/>
      <sheetName val="liquid-ff-heatingoil"/>
      <sheetName val="solid-ff-coal"/>
      <sheetName val="electricity"/>
      <sheetName val="electricity-heatpumps"/>
      <sheetName val="_el_1-pager"/>
      <sheetName val="solid-bio"/>
      <sheetName val="liquid-bio"/>
      <sheetName val="gas-bio"/>
      <sheetName val="_solid-bio-woodlog"/>
      <sheetName val="_solid-bio-pellets"/>
      <sheetName val="heat-ambient"/>
      <sheetName val="heat-solar"/>
      <sheetName val="heat-geothermal"/>
      <sheetName val="solid-waste"/>
      <sheetName val="_gas-ff-natural-condensing"/>
      <sheetName val="_gas-ff-natural-lowtemp"/>
      <sheetName val="_heat-district"/>
    </sheetNames>
    <sheetDataSet>
      <sheetData sheetId="0"/>
      <sheetData sheetId="1"/>
      <sheetData sheetId="2">
        <row r="1">
          <cell r="S1" t="str">
            <v>share of fossil</v>
          </cell>
          <cell r="V1">
            <v>0.38704128013276784</v>
          </cell>
          <cell r="AF1" t="str">
            <v>share of fossil</v>
          </cell>
          <cell r="AI1">
            <v>0.20099246869754753</v>
          </cell>
          <cell r="AS1" t="str">
            <v>share of fossil</v>
          </cell>
          <cell r="AV1">
            <v>0.13946865716890797</v>
          </cell>
          <cell r="BF1" t="str">
            <v>share of fossil</v>
          </cell>
          <cell r="BI1">
            <v>2.1034594375888449E-2</v>
          </cell>
        </row>
        <row r="3">
          <cell r="S3">
            <v>1</v>
          </cell>
          <cell r="U3">
            <v>0.3</v>
          </cell>
          <cell r="V3">
            <v>0.65</v>
          </cell>
          <cell r="W3">
            <v>0.01</v>
          </cell>
          <cell r="X3">
            <v>0.03</v>
          </cell>
          <cell r="Y3">
            <v>5.0000000000000001E-3</v>
          </cell>
          <cell r="Z3">
            <v>5.0000000000000001E-3</v>
          </cell>
          <cell r="AE3">
            <v>1</v>
          </cell>
          <cell r="AH3">
            <v>0.4</v>
          </cell>
          <cell r="AI3">
            <v>0.5</v>
          </cell>
          <cell r="AJ3">
            <v>0.02</v>
          </cell>
          <cell r="AK3">
            <v>0.06</v>
          </cell>
          <cell r="AL3">
            <v>0.01</v>
          </cell>
          <cell r="AM3">
            <v>0.01</v>
          </cell>
          <cell r="AR3">
            <v>1</v>
          </cell>
          <cell r="AU3">
            <v>0.5</v>
          </cell>
          <cell r="AV3">
            <v>0.35</v>
          </cell>
          <cell r="AW3">
            <v>0.03</v>
          </cell>
          <cell r="AX3">
            <v>0.09</v>
          </cell>
          <cell r="AY3">
            <v>1.4999999999999999E-2</v>
          </cell>
          <cell r="AZ3">
            <v>1.4999999999999999E-2</v>
          </cell>
          <cell r="BE3">
            <v>1.0024999999999999</v>
          </cell>
          <cell r="BH3">
            <v>0.6</v>
          </cell>
          <cell r="BI3">
            <v>0.19999999999999998</v>
          </cell>
          <cell r="BJ3">
            <v>4.0500000000000001E-2</v>
          </cell>
          <cell r="BK3">
            <v>0.1215</v>
          </cell>
          <cell r="BL3">
            <v>2.0250000000000001E-2</v>
          </cell>
          <cell r="BM3">
            <v>2.0250000000000001E-2</v>
          </cell>
        </row>
        <row r="4">
          <cell r="S4" t="str">
            <v>gas-ff-natural</v>
          </cell>
          <cell r="T4">
            <v>-1.4999999999999999E-2</v>
          </cell>
          <cell r="U4">
            <v>-1.4999999999999999E-2</v>
          </cell>
          <cell r="V4">
            <v>-3.2500000000000001E-2</v>
          </cell>
          <cell r="W4">
            <v>-5.0000000000000001E-4</v>
          </cell>
          <cell r="X4">
            <v>-1.5E-3</v>
          </cell>
          <cell r="Y4">
            <v>-2.5000000000000001E-4</v>
          </cell>
          <cell r="Z4">
            <v>-2.5000000000000001E-4</v>
          </cell>
          <cell r="AF4" t="str">
            <v>gas-ff-natural</v>
          </cell>
          <cell r="AG4">
            <v>-0.2</v>
          </cell>
          <cell r="AH4">
            <v>-0.2</v>
          </cell>
          <cell r="AI4">
            <v>-0.25</v>
          </cell>
          <cell r="AJ4">
            <v>-0.01</v>
          </cell>
          <cell r="AK4">
            <v>-0.03</v>
          </cell>
          <cell r="AL4">
            <v>-5.0000000000000001E-3</v>
          </cell>
          <cell r="AM4">
            <v>-5.0000000000000001E-3</v>
          </cell>
          <cell r="AS4" t="str">
            <v>gas-ff-natural</v>
          </cell>
          <cell r="AT4">
            <v>-0.32500000000000001</v>
          </cell>
          <cell r="AU4">
            <v>-0.32500000000000001</v>
          </cell>
          <cell r="AV4">
            <v>-0.22749999999999998</v>
          </cell>
          <cell r="AW4">
            <v>-1.95E-2</v>
          </cell>
          <cell r="AX4">
            <v>-5.8499999999999996E-2</v>
          </cell>
          <cell r="AY4">
            <v>-9.75E-3</v>
          </cell>
          <cell r="AZ4">
            <v>-9.75E-3</v>
          </cell>
          <cell r="BF4" t="str">
            <v>gas-ff-natural</v>
          </cell>
          <cell r="BG4">
            <v>-0.56999999999999995</v>
          </cell>
          <cell r="BH4">
            <v>-0.56999999999999995</v>
          </cell>
          <cell r="BI4">
            <v>-0.18999999999999997</v>
          </cell>
          <cell r="BJ4">
            <v>-3.8475000000000002E-2</v>
          </cell>
          <cell r="BK4">
            <v>-0.11542499999999999</v>
          </cell>
          <cell r="BL4">
            <v>-1.9237500000000001E-2</v>
          </cell>
          <cell r="BM4">
            <v>-1.9237500000000001E-2</v>
          </cell>
        </row>
        <row r="5">
          <cell r="S5" t="str">
            <v>liquid-ff-heatingoil</v>
          </cell>
          <cell r="T5">
            <v>-0.03</v>
          </cell>
          <cell r="U5">
            <v>-0.03</v>
          </cell>
          <cell r="V5">
            <v>-6.5000000000000002E-2</v>
          </cell>
          <cell r="W5">
            <v>-1E-3</v>
          </cell>
          <cell r="X5">
            <v>-3.0000000000000001E-3</v>
          </cell>
          <cell r="Y5">
            <v>-5.0000000000000001E-4</v>
          </cell>
          <cell r="Z5">
            <v>-5.0000000000000001E-4</v>
          </cell>
          <cell r="AF5" t="str">
            <v>liquid-ff-heatingoil</v>
          </cell>
          <cell r="AG5">
            <v>-0.2</v>
          </cell>
          <cell r="AH5">
            <v>-0.2</v>
          </cell>
          <cell r="AI5">
            <v>-0.25</v>
          </cell>
          <cell r="AJ5">
            <v>-0.01</v>
          </cell>
          <cell r="AK5">
            <v>-0.03</v>
          </cell>
          <cell r="AL5">
            <v>-5.0000000000000001E-3</v>
          </cell>
          <cell r="AM5">
            <v>-5.0000000000000001E-3</v>
          </cell>
          <cell r="AS5" t="str">
            <v>liquid-ff-heatingoil</v>
          </cell>
          <cell r="AT5">
            <v>-0.32500000000000001</v>
          </cell>
          <cell r="AU5">
            <v>-0.32500000000000001</v>
          </cell>
          <cell r="AV5">
            <v>-0.22749999999999998</v>
          </cell>
          <cell r="AW5">
            <v>-1.95E-2</v>
          </cell>
          <cell r="AX5">
            <v>-5.8499999999999996E-2</v>
          </cell>
          <cell r="AY5">
            <v>-9.75E-3</v>
          </cell>
          <cell r="AZ5">
            <v>-9.75E-3</v>
          </cell>
          <cell r="BF5" t="str">
            <v>liquid-ff-heatingoil</v>
          </cell>
          <cell r="BG5">
            <v>-0.56999999999999995</v>
          </cell>
          <cell r="BH5">
            <v>-0.56999999999999995</v>
          </cell>
          <cell r="BI5">
            <v>-0.18999999999999997</v>
          </cell>
          <cell r="BJ5">
            <v>-3.8475000000000002E-2</v>
          </cell>
          <cell r="BK5">
            <v>-0.11542499999999999</v>
          </cell>
          <cell r="BL5">
            <v>-1.9237500000000001E-2</v>
          </cell>
          <cell r="BM5">
            <v>-1.9237500000000001E-2</v>
          </cell>
        </row>
        <row r="6">
          <cell r="S6" t="str">
            <v>solid-ff-coal</v>
          </cell>
          <cell r="T6">
            <v>-0.09</v>
          </cell>
          <cell r="U6">
            <v>-0.09</v>
          </cell>
          <cell r="V6">
            <v>-0.19500000000000001</v>
          </cell>
          <cell r="W6">
            <v>-3.0000000000000001E-3</v>
          </cell>
          <cell r="X6">
            <v>-8.9999999999999993E-3</v>
          </cell>
          <cell r="Y6">
            <v>-1.5E-3</v>
          </cell>
          <cell r="Z6">
            <v>-1.5E-3</v>
          </cell>
          <cell r="AF6" t="str">
            <v>solid-ff-coal</v>
          </cell>
          <cell r="AG6">
            <v>-0.32000000000000006</v>
          </cell>
          <cell r="AH6">
            <v>-0.32000000000000006</v>
          </cell>
          <cell r="AI6">
            <v>-0.4</v>
          </cell>
          <cell r="AJ6">
            <v>-1.6E-2</v>
          </cell>
          <cell r="AK6">
            <v>-4.8000000000000001E-2</v>
          </cell>
          <cell r="AL6">
            <v>-8.0000000000000002E-3</v>
          </cell>
          <cell r="AM6">
            <v>-8.0000000000000002E-3</v>
          </cell>
          <cell r="AS6" t="str">
            <v>solid-ff-coal</v>
          </cell>
          <cell r="AT6">
            <v>-0.45</v>
          </cell>
          <cell r="AU6">
            <v>-0.45</v>
          </cell>
          <cell r="AV6">
            <v>-0.315</v>
          </cell>
          <cell r="AW6">
            <v>-2.7E-2</v>
          </cell>
          <cell r="AX6">
            <v>-8.1000000000000003E-2</v>
          </cell>
          <cell r="AY6">
            <v>-1.35E-2</v>
          </cell>
          <cell r="AZ6">
            <v>-1.35E-2</v>
          </cell>
          <cell r="BF6" t="str">
            <v>solid-ff-coal</v>
          </cell>
          <cell r="BG6">
            <v>-0.56999999999999995</v>
          </cell>
          <cell r="BH6">
            <v>-0.56999999999999995</v>
          </cell>
          <cell r="BI6">
            <v>-0.18999999999999997</v>
          </cell>
          <cell r="BJ6">
            <v>-3.8475000000000002E-2</v>
          </cell>
          <cell r="BK6">
            <v>-0.11542499999999999</v>
          </cell>
          <cell r="BL6">
            <v>-1.9237500000000001E-2</v>
          </cell>
          <cell r="BM6">
            <v>-1.9237500000000001E-2</v>
          </cell>
        </row>
        <row r="7">
          <cell r="S7"/>
          <cell r="T7">
            <v>0.25</v>
          </cell>
          <cell r="U7">
            <v>0.75</v>
          </cell>
          <cell r="V7">
            <v>1</v>
          </cell>
          <cell r="W7">
            <v>1</v>
          </cell>
          <cell r="X7">
            <v>1</v>
          </cell>
          <cell r="Y7">
            <v>1</v>
          </cell>
          <cell r="Z7">
            <v>1</v>
          </cell>
          <cell r="AF7"/>
          <cell r="AG7">
            <v>0.25</v>
          </cell>
          <cell r="AH7">
            <v>0.75</v>
          </cell>
          <cell r="AI7">
            <v>1</v>
          </cell>
          <cell r="AJ7">
            <v>1</v>
          </cell>
          <cell r="AK7">
            <v>1</v>
          </cell>
          <cell r="AL7">
            <v>1</v>
          </cell>
          <cell r="AM7">
            <v>1</v>
          </cell>
          <cell r="AS7"/>
          <cell r="AT7">
            <v>0.25</v>
          </cell>
          <cell r="AU7">
            <v>0.75</v>
          </cell>
          <cell r="AV7">
            <v>1</v>
          </cell>
          <cell r="AW7">
            <v>1</v>
          </cell>
          <cell r="AX7">
            <v>1</v>
          </cell>
          <cell r="AY7">
            <v>1</v>
          </cell>
          <cell r="AZ7">
            <v>1</v>
          </cell>
          <cell r="BF7"/>
          <cell r="BG7">
            <v>0.25</v>
          </cell>
          <cell r="BH7">
            <v>0.75</v>
          </cell>
          <cell r="BI7">
            <v>1</v>
          </cell>
          <cell r="BJ7">
            <v>1</v>
          </cell>
          <cell r="BK7">
            <v>1</v>
          </cell>
          <cell r="BL7">
            <v>1</v>
          </cell>
          <cell r="BM7">
            <v>1</v>
          </cell>
        </row>
        <row r="8">
          <cell r="Q8">
            <v>-0.05</v>
          </cell>
          <cell r="R8">
            <v>-0.1</v>
          </cell>
          <cell r="S8">
            <v>-0.3</v>
          </cell>
          <cell r="V8"/>
          <cell r="AD8">
            <v>-0.5</v>
          </cell>
          <cell r="AE8">
            <v>-0.5</v>
          </cell>
          <cell r="AF8">
            <v>-0.8</v>
          </cell>
          <cell r="AQ8">
            <v>-0.65</v>
          </cell>
          <cell r="AR8">
            <v>-0.65</v>
          </cell>
          <cell r="AS8">
            <v>-0.9</v>
          </cell>
          <cell r="BD8">
            <v>-0.95</v>
          </cell>
          <cell r="BE8">
            <v>-0.95</v>
          </cell>
          <cell r="BF8">
            <v>-0.95</v>
          </cell>
        </row>
        <row r="10">
          <cell r="Q10" t="str">
            <v>gas-ff-natural</v>
          </cell>
          <cell r="R10" t="str">
            <v>liquid-ff-heatingoil</v>
          </cell>
          <cell r="S10" t="str">
            <v>solid-ff-coal</v>
          </cell>
          <cell r="T10" t="str">
            <v>electricity-heatpumps</v>
          </cell>
          <cell r="U10" t="str">
            <v>heat-ambient</v>
          </cell>
          <cell r="V10" t="str">
            <v>solid-bio</v>
          </cell>
          <cell r="W10" t="str">
            <v>heat-geothermal</v>
          </cell>
          <cell r="X10" t="str">
            <v>heat-solar</v>
          </cell>
          <cell r="Y10" t="str">
            <v>gas-bio</v>
          </cell>
          <cell r="Z10" t="str">
            <v>liquid-bio</v>
          </cell>
          <cell r="AD10" t="str">
            <v>gas-ff-natural</v>
          </cell>
          <cell r="AE10" t="str">
            <v>liquid-ff-heatingoil</v>
          </cell>
          <cell r="AF10" t="str">
            <v>solid-ff-coal</v>
          </cell>
          <cell r="AG10" t="str">
            <v>electricity-heatpumps</v>
          </cell>
          <cell r="AH10" t="str">
            <v>heat-ambient</v>
          </cell>
          <cell r="AI10" t="str">
            <v>solid-bio</v>
          </cell>
          <cell r="AJ10" t="str">
            <v>heat-geothermal</v>
          </cell>
          <cell r="AK10" t="str">
            <v>heat-solar</v>
          </cell>
          <cell r="AL10" t="str">
            <v>gas-bio</v>
          </cell>
          <cell r="AM10" t="str">
            <v>liquid-bio</v>
          </cell>
          <cell r="AQ10" t="str">
            <v>gas-ff-natural</v>
          </cell>
          <cell r="AR10" t="str">
            <v>liquid-ff-heatingoil</v>
          </cell>
          <cell r="AS10" t="str">
            <v>solid-ff-coal</v>
          </cell>
          <cell r="AT10" t="str">
            <v>electricity-heatpumps</v>
          </cell>
          <cell r="AU10" t="str">
            <v>heat-ambient</v>
          </cell>
          <cell r="AV10" t="str">
            <v>solid-bio</v>
          </cell>
          <cell r="AW10" t="str">
            <v>heat-geothermal</v>
          </cell>
          <cell r="AX10" t="str">
            <v>heat-solar</v>
          </cell>
          <cell r="AY10" t="str">
            <v>gas-bio</v>
          </cell>
          <cell r="AZ10" t="str">
            <v>liquid-bio</v>
          </cell>
          <cell r="BD10" t="str">
            <v>gas-ff-natural</v>
          </cell>
          <cell r="BE10" t="str">
            <v>liquid-ff-heatingoil</v>
          </cell>
          <cell r="BF10" t="str">
            <v>solid-ff-coal</v>
          </cell>
          <cell r="BG10" t="str">
            <v>electricity-heatpumps</v>
          </cell>
          <cell r="BH10" t="str">
            <v>heat-ambient</v>
          </cell>
          <cell r="BI10" t="str">
            <v>solid-bio</v>
          </cell>
          <cell r="BJ10" t="str">
            <v>heat-geothermal</v>
          </cell>
          <cell r="BK10" t="str">
            <v>heat-solar</v>
          </cell>
          <cell r="BL10" t="str">
            <v>gas-bio</v>
          </cell>
          <cell r="BM10" t="str">
            <v>liquid-bio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2347F-66FE-4F8D-A50A-58EDCDDD351F}">
  <sheetPr codeName="Sheet1"/>
  <dimension ref="A2:J12"/>
  <sheetViews>
    <sheetView workbookViewId="0">
      <selection activeCell="H14" sqref="H14"/>
    </sheetView>
  </sheetViews>
  <sheetFormatPr defaultRowHeight="14.4" x14ac:dyDescent="0.3"/>
  <cols>
    <col min="2" max="2" width="19" bestFit="1" customWidth="1"/>
    <col min="3" max="3" width="25.109375" bestFit="1" customWidth="1"/>
  </cols>
  <sheetData>
    <row r="2" spans="1:10" x14ac:dyDescent="0.3">
      <c r="B2" t="s">
        <v>19</v>
      </c>
    </row>
    <row r="3" spans="1:10" x14ac:dyDescent="0.3">
      <c r="C3" t="s">
        <v>2</v>
      </c>
    </row>
    <row r="4" spans="1:10" x14ac:dyDescent="0.3">
      <c r="C4" t="s">
        <v>1</v>
      </c>
    </row>
    <row r="5" spans="1:10" x14ac:dyDescent="0.3">
      <c r="C5" t="s">
        <v>3</v>
      </c>
    </row>
    <row r="8" spans="1:10" x14ac:dyDescent="0.3">
      <c r="D8" t="s">
        <v>0</v>
      </c>
    </row>
    <row r="9" spans="1:10" x14ac:dyDescent="0.3">
      <c r="A9" t="s">
        <v>4</v>
      </c>
      <c r="B9" t="s">
        <v>5</v>
      </c>
      <c r="C9" t="s">
        <v>18</v>
      </c>
      <c r="D9" t="s">
        <v>9</v>
      </c>
      <c r="E9" t="s">
        <v>10</v>
      </c>
      <c r="F9" t="s">
        <v>11</v>
      </c>
      <c r="G9" t="s">
        <v>12</v>
      </c>
      <c r="H9" t="s">
        <v>13</v>
      </c>
      <c r="I9" t="s">
        <v>14</v>
      </c>
      <c r="J9" t="s">
        <v>17</v>
      </c>
    </row>
    <row r="10" spans="1:10" x14ac:dyDescent="0.3">
      <c r="C10" t="s">
        <v>2</v>
      </c>
    </row>
    <row r="11" spans="1:10" x14ac:dyDescent="0.3">
      <c r="C11" t="s">
        <v>1</v>
      </c>
    </row>
    <row r="12" spans="1:10" x14ac:dyDescent="0.3">
      <c r="C12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9BA7D-1C96-4017-804E-2A5F2F4A443C}">
  <sheetPr codeName="Sheet2"/>
  <dimension ref="A1:J4"/>
  <sheetViews>
    <sheetView workbookViewId="0">
      <selection activeCell="H14" sqref="H14"/>
    </sheetView>
  </sheetViews>
  <sheetFormatPr defaultRowHeight="14.4" x14ac:dyDescent="0.3"/>
  <cols>
    <col min="1" max="1" width="8" bestFit="1" customWidth="1"/>
    <col min="2" max="2" width="18.88671875" bestFit="1" customWidth="1"/>
    <col min="3" max="3" width="5" bestFit="1" customWidth="1"/>
    <col min="4" max="4" width="7" bestFit="1" customWidth="1"/>
    <col min="5" max="5" width="8.44140625" bestFit="1" customWidth="1"/>
    <col min="6" max="7" width="7.88671875" bestFit="1" customWidth="1"/>
    <col min="8" max="8" width="9.33203125" bestFit="1" customWidth="1"/>
    <col min="9" max="9" width="8.6640625" bestFit="1" customWidth="1"/>
    <col min="10" max="10" width="2.44140625" bestFit="1" customWidth="1"/>
  </cols>
  <sheetData>
    <row r="1" spans="1:10" x14ac:dyDescent="0.3">
      <c r="A1" t="s">
        <v>4</v>
      </c>
      <c r="B1" t="s">
        <v>5</v>
      </c>
      <c r="C1" t="s">
        <v>6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17</v>
      </c>
    </row>
    <row r="2" spans="1:10" x14ac:dyDescent="0.3">
      <c r="A2" t="s">
        <v>16</v>
      </c>
      <c r="B2" t="s">
        <v>15</v>
      </c>
      <c r="C2">
        <v>2015</v>
      </c>
    </row>
    <row r="3" spans="1:10" x14ac:dyDescent="0.3">
      <c r="A3" t="s">
        <v>16</v>
      </c>
      <c r="B3" t="s">
        <v>15</v>
      </c>
      <c r="C3">
        <v>2030</v>
      </c>
    </row>
    <row r="4" spans="1:10" x14ac:dyDescent="0.3">
      <c r="A4" t="s">
        <v>16</v>
      </c>
      <c r="B4" t="s">
        <v>15</v>
      </c>
      <c r="C4">
        <v>2050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86A7C-83EA-4AC5-8214-984C5A30EEDC}">
  <sheetPr codeName="Sheet3"/>
  <dimension ref="A1:J4"/>
  <sheetViews>
    <sheetView workbookViewId="0">
      <selection activeCell="H14" sqref="H14"/>
    </sheetView>
  </sheetViews>
  <sheetFormatPr defaultRowHeight="14.4" x14ac:dyDescent="0.3"/>
  <cols>
    <col min="1" max="1" width="8" bestFit="1" customWidth="1"/>
    <col min="2" max="2" width="18.88671875" bestFit="1" customWidth="1"/>
    <col min="3" max="3" width="5" bestFit="1" customWidth="1"/>
    <col min="4" max="4" width="7" bestFit="1" customWidth="1"/>
    <col min="5" max="5" width="8.44140625" bestFit="1" customWidth="1"/>
    <col min="6" max="7" width="7.88671875" bestFit="1" customWidth="1"/>
    <col min="8" max="8" width="9.33203125" bestFit="1" customWidth="1"/>
    <col min="9" max="9" width="8.6640625" bestFit="1" customWidth="1"/>
    <col min="10" max="10" width="2.44140625" bestFit="1" customWidth="1"/>
  </cols>
  <sheetData>
    <row r="1" spans="1:10" x14ac:dyDescent="0.3">
      <c r="A1" t="s">
        <v>4</v>
      </c>
      <c r="B1" t="s">
        <v>5</v>
      </c>
      <c r="C1" t="s">
        <v>6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17</v>
      </c>
    </row>
    <row r="2" spans="1:10" x14ac:dyDescent="0.3">
      <c r="A2" t="s">
        <v>16</v>
      </c>
      <c r="B2" t="s">
        <v>15</v>
      </c>
      <c r="C2">
        <v>2015</v>
      </c>
    </row>
    <row r="3" spans="1:10" x14ac:dyDescent="0.3">
      <c r="A3" t="s">
        <v>16</v>
      </c>
      <c r="B3" t="s">
        <v>15</v>
      </c>
      <c r="C3">
        <v>2030</v>
      </c>
    </row>
    <row r="4" spans="1:10" x14ac:dyDescent="0.3">
      <c r="A4" t="s">
        <v>16</v>
      </c>
      <c r="B4" t="s">
        <v>15</v>
      </c>
      <c r="C4">
        <v>2050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9FB9C-1BAB-4B34-ABC0-F865BF0A10D2}">
  <sheetPr codeName="Sheet4"/>
  <dimension ref="A1:J4"/>
  <sheetViews>
    <sheetView workbookViewId="0">
      <selection activeCell="H14" sqref="H14"/>
    </sheetView>
  </sheetViews>
  <sheetFormatPr defaultRowHeight="14.4" x14ac:dyDescent="0.3"/>
  <cols>
    <col min="1" max="1" width="8" bestFit="1" customWidth="1"/>
    <col min="2" max="2" width="18.88671875" bestFit="1" customWidth="1"/>
    <col min="3" max="3" width="5" bestFit="1" customWidth="1"/>
    <col min="4" max="4" width="7" bestFit="1" customWidth="1"/>
    <col min="5" max="5" width="8.44140625" bestFit="1" customWidth="1"/>
    <col min="6" max="7" width="7.88671875" bestFit="1" customWidth="1"/>
    <col min="8" max="8" width="9.33203125" bestFit="1" customWidth="1"/>
    <col min="9" max="9" width="8.6640625" bestFit="1" customWidth="1"/>
    <col min="10" max="10" width="2.44140625" bestFit="1" customWidth="1"/>
  </cols>
  <sheetData>
    <row r="1" spans="1:10" x14ac:dyDescent="0.3">
      <c r="A1" t="s">
        <v>4</v>
      </c>
      <c r="B1" t="s">
        <v>5</v>
      </c>
      <c r="C1" t="s">
        <v>6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17</v>
      </c>
    </row>
    <row r="2" spans="1:10" x14ac:dyDescent="0.3">
      <c r="A2" t="s">
        <v>16</v>
      </c>
      <c r="B2" t="s">
        <v>15</v>
      </c>
      <c r="C2">
        <v>2015</v>
      </c>
    </row>
    <row r="3" spans="1:10" x14ac:dyDescent="0.3">
      <c r="A3" t="s">
        <v>16</v>
      </c>
      <c r="B3" t="s">
        <v>15</v>
      </c>
      <c r="C3">
        <v>2030</v>
      </c>
    </row>
    <row r="4" spans="1:10" x14ac:dyDescent="0.3">
      <c r="A4" t="s">
        <v>16</v>
      </c>
      <c r="B4" t="s">
        <v>15</v>
      </c>
      <c r="C4">
        <v>2050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DCC7A-B570-4662-B3DA-9377AFF4CE56}">
  <sheetPr codeName="Sheet6"/>
  <dimension ref="A2:C8"/>
  <sheetViews>
    <sheetView topLeftCell="A6" workbookViewId="0">
      <selection activeCell="H14" sqref="H14"/>
    </sheetView>
  </sheetViews>
  <sheetFormatPr defaultColWidth="9.109375" defaultRowHeight="14.4" x14ac:dyDescent="0.3"/>
  <cols>
    <col min="1" max="1" width="35.109375" style="3" bestFit="1" customWidth="1"/>
    <col min="2" max="2" width="40.6640625" style="3" customWidth="1"/>
    <col min="3" max="3" width="63.5546875" style="3" customWidth="1"/>
    <col min="4" max="16384" width="9.109375" style="3"/>
  </cols>
  <sheetData>
    <row r="2" spans="1:3" x14ac:dyDescent="0.3">
      <c r="A2" s="3" t="s">
        <v>57</v>
      </c>
    </row>
    <row r="3" spans="1:3" ht="43.2" x14ac:dyDescent="0.3">
      <c r="A3" s="3" t="s">
        <v>48</v>
      </c>
      <c r="B3" s="3" t="s">
        <v>53</v>
      </c>
      <c r="C3" s="3" t="e">
        <f ca="1">INDIRECT("'"&amp;LEFT(CELL("filename",$A$12),FIND("[",CELL("filename",$A$1))-1)&amp;"[ots_bld_"&amp;A3&amp;"_md.xlsx]metadata'!$B$4")</f>
        <v>#REF!</v>
      </c>
    </row>
    <row r="4" spans="1:3" ht="43.2" x14ac:dyDescent="0.3">
      <c r="A4" s="3" t="s">
        <v>49</v>
      </c>
      <c r="B4" s="3" t="s">
        <v>53</v>
      </c>
      <c r="C4" s="3" t="e">
        <f ca="1">INDIRECT("'"&amp;LEFT(CELL("filename",$A$12),FIND("[",CELL("filename",$A$1))-1)&amp;"[ots_bld_"&amp;A4&amp;"_md.xlsx]metadata'!$B$4")</f>
        <v>#REF!</v>
      </c>
    </row>
    <row r="5" spans="1:3" ht="28.8" x14ac:dyDescent="0.3">
      <c r="A5" s="3" t="s">
        <v>50</v>
      </c>
      <c r="B5" s="3" t="s">
        <v>54</v>
      </c>
      <c r="C5" s="3" t="e">
        <f t="shared" ref="C5:C8" ca="1" si="0">INDIRECT("'"&amp;LEFT(CELL("filename",$A$12),FIND("[",CELL("filename",$A$1))-1)&amp;"[ots_bld_"&amp;A5&amp;"_md.xlsx]metadata'!$B$4")</f>
        <v>#REF!</v>
      </c>
    </row>
    <row r="6" spans="1:3" ht="43.2" x14ac:dyDescent="0.3">
      <c r="A6" s="3" t="s">
        <v>52</v>
      </c>
      <c r="B6" s="3" t="s">
        <v>55</v>
      </c>
      <c r="C6" s="3" t="e">
        <f t="shared" ca="1" si="0"/>
        <v>#REF!</v>
      </c>
    </row>
    <row r="7" spans="1:3" ht="72" x14ac:dyDescent="0.3">
      <c r="A7" s="3" t="s">
        <v>51</v>
      </c>
      <c r="B7" s="3" t="s">
        <v>56</v>
      </c>
      <c r="C7" s="3" t="e">
        <f t="shared" ca="1" si="0"/>
        <v>#REF!</v>
      </c>
    </row>
    <row r="8" spans="1:3" x14ac:dyDescent="0.3">
      <c r="A8" s="3" t="s">
        <v>58</v>
      </c>
      <c r="C8" s="3" t="e">
        <f t="shared" ca="1" si="0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37E52-BC67-4657-8192-78399D8B867F}">
  <sheetPr codeName="Sheet5"/>
  <dimension ref="A2:AB28"/>
  <sheetViews>
    <sheetView workbookViewId="0">
      <selection activeCell="H14" sqref="H14"/>
    </sheetView>
  </sheetViews>
  <sheetFormatPr defaultRowHeight="14.4" x14ac:dyDescent="0.3"/>
  <cols>
    <col min="2" max="2" width="11.88671875" customWidth="1"/>
    <col min="3" max="3" width="13.109375" bestFit="1" customWidth="1"/>
    <col min="4" max="4" width="14.6640625" bestFit="1" customWidth="1"/>
  </cols>
  <sheetData>
    <row r="2" spans="1:28" x14ac:dyDescent="0.3">
      <c r="A2" t="s">
        <v>20</v>
      </c>
    </row>
    <row r="4" spans="1:28" x14ac:dyDescent="0.3">
      <c r="B4" t="s">
        <v>47</v>
      </c>
    </row>
    <row r="7" spans="1:28" x14ac:dyDescent="0.3">
      <c r="B7" s="1" t="s">
        <v>21</v>
      </c>
      <c r="C7" s="1" t="s">
        <v>22</v>
      </c>
      <c r="D7" s="1" t="s">
        <v>23</v>
      </c>
      <c r="G7" s="2"/>
      <c r="H7" s="1" t="s">
        <v>7</v>
      </c>
      <c r="I7" s="1" t="s">
        <v>8</v>
      </c>
      <c r="J7" s="1" t="s">
        <v>27</v>
      </c>
      <c r="K7" s="1" t="s">
        <v>28</v>
      </c>
      <c r="L7" s="1" t="s">
        <v>29</v>
      </c>
      <c r="M7" s="1" t="s">
        <v>30</v>
      </c>
      <c r="N7" s="1" t="s">
        <v>31</v>
      </c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</row>
    <row r="8" spans="1:28" x14ac:dyDescent="0.3">
      <c r="B8" s="1" t="s">
        <v>24</v>
      </c>
      <c r="C8" s="1" t="s">
        <v>7</v>
      </c>
      <c r="D8" s="2" t="s">
        <v>11</v>
      </c>
      <c r="G8" s="1" t="s">
        <v>24</v>
      </c>
      <c r="H8" s="2" t="str">
        <f>H$7&amp;"-"&amp;$G8</f>
        <v>sfh-shl</v>
      </c>
      <c r="I8" s="2" t="str">
        <f t="shared" ref="I8:N10" si="0">I$7&amp;"-"&amp;$G8</f>
        <v>mfh-shl</v>
      </c>
      <c r="J8" s="2" t="str">
        <f t="shared" si="0"/>
        <v>trade-shl</v>
      </c>
      <c r="K8" s="2" t="str">
        <f t="shared" si="0"/>
        <v>education-shl</v>
      </c>
      <c r="L8" s="2" t="str">
        <f t="shared" si="0"/>
        <v>hotels-shl</v>
      </c>
      <c r="M8" s="2" t="str">
        <f t="shared" si="0"/>
        <v>health-shl</v>
      </c>
      <c r="N8" s="2" t="str">
        <f t="shared" si="0"/>
        <v>offices-shl</v>
      </c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</row>
    <row r="9" spans="1:28" x14ac:dyDescent="0.3">
      <c r="B9" s="1" t="s">
        <v>25</v>
      </c>
      <c r="C9" s="1" t="s">
        <v>8</v>
      </c>
      <c r="D9" s="2" t="s">
        <v>10</v>
      </c>
      <c r="G9" s="1" t="s">
        <v>25</v>
      </c>
      <c r="H9" s="2" t="str">
        <f t="shared" ref="H9:H10" si="1">H$7&amp;"-"&amp;$G9</f>
        <v>sfh-med</v>
      </c>
      <c r="I9" s="2" t="str">
        <f t="shared" si="0"/>
        <v>mfh-med</v>
      </c>
      <c r="J9" s="2" t="str">
        <f t="shared" si="0"/>
        <v>trade-med</v>
      </c>
      <c r="K9" s="2" t="str">
        <f t="shared" si="0"/>
        <v>education-med</v>
      </c>
      <c r="L9" s="2" t="str">
        <f t="shared" si="0"/>
        <v>hotels-med</v>
      </c>
      <c r="M9" s="2" t="str">
        <f t="shared" si="0"/>
        <v>health-med</v>
      </c>
      <c r="N9" s="2" t="str">
        <f t="shared" si="0"/>
        <v>offices-med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</row>
    <row r="10" spans="1:28" x14ac:dyDescent="0.3">
      <c r="B10" s="1" t="s">
        <v>26</v>
      </c>
      <c r="C10" s="1" t="s">
        <v>27</v>
      </c>
      <c r="D10" s="2" t="s">
        <v>9</v>
      </c>
      <c r="G10" s="1" t="s">
        <v>26</v>
      </c>
      <c r="H10" s="2" t="str">
        <f t="shared" si="1"/>
        <v>sfh-dep</v>
      </c>
      <c r="I10" s="2" t="str">
        <f t="shared" si="0"/>
        <v>mfh-dep</v>
      </c>
      <c r="J10" s="2" t="str">
        <f t="shared" si="0"/>
        <v>trade-dep</v>
      </c>
      <c r="K10" s="2" t="str">
        <f t="shared" si="0"/>
        <v>education-dep</v>
      </c>
      <c r="L10" s="2" t="str">
        <f t="shared" si="0"/>
        <v>hotels-dep</v>
      </c>
      <c r="M10" s="2" t="str">
        <f t="shared" si="0"/>
        <v>health-dep</v>
      </c>
      <c r="N10" s="2" t="str">
        <f t="shared" si="0"/>
        <v>offices-dep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</row>
    <row r="11" spans="1:28" x14ac:dyDescent="0.3">
      <c r="B11" s="2"/>
      <c r="C11" s="1" t="s">
        <v>28</v>
      </c>
      <c r="D11" s="2" t="s">
        <v>14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</row>
    <row r="12" spans="1:28" x14ac:dyDescent="0.3">
      <c r="B12" s="2"/>
      <c r="C12" s="1" t="s">
        <v>29</v>
      </c>
      <c r="D12" s="2" t="s">
        <v>13</v>
      </c>
      <c r="G12" s="2"/>
      <c r="H12" s="1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</row>
    <row r="13" spans="1:28" x14ac:dyDescent="0.3">
      <c r="B13" s="2"/>
      <c r="C13" s="1" t="s">
        <v>30</v>
      </c>
      <c r="D13" s="2" t="s">
        <v>12</v>
      </c>
    </row>
    <row r="14" spans="1:28" x14ac:dyDescent="0.3">
      <c r="B14" s="2"/>
      <c r="C14" s="1" t="s">
        <v>31</v>
      </c>
      <c r="D14" s="2" t="s">
        <v>32</v>
      </c>
    </row>
    <row r="15" spans="1:28" x14ac:dyDescent="0.3">
      <c r="B15" s="2"/>
      <c r="C15" s="2"/>
      <c r="D15" s="2" t="s">
        <v>33</v>
      </c>
    </row>
    <row r="16" spans="1:28" x14ac:dyDescent="0.3">
      <c r="B16" s="2"/>
      <c r="C16" s="2"/>
      <c r="D16" s="2" t="s">
        <v>34</v>
      </c>
    </row>
    <row r="17" spans="2:4" x14ac:dyDescent="0.3">
      <c r="B17" s="2"/>
      <c r="C17" s="2"/>
      <c r="D17" s="2" t="s">
        <v>35</v>
      </c>
    </row>
    <row r="18" spans="2:4" x14ac:dyDescent="0.3">
      <c r="B18" s="2"/>
      <c r="C18" s="2"/>
      <c r="D18" s="2" t="s">
        <v>36</v>
      </c>
    </row>
    <row r="19" spans="2:4" x14ac:dyDescent="0.3">
      <c r="B19" s="2"/>
      <c r="C19" s="2"/>
      <c r="D19" s="2" t="s">
        <v>37</v>
      </c>
    </row>
    <row r="20" spans="2:4" x14ac:dyDescent="0.3">
      <c r="B20" s="2"/>
      <c r="C20" s="2"/>
      <c r="D20" s="2" t="s">
        <v>38</v>
      </c>
    </row>
    <row r="21" spans="2:4" x14ac:dyDescent="0.3">
      <c r="B21" s="2"/>
      <c r="C21" s="2"/>
      <c r="D21" s="2" t="s">
        <v>39</v>
      </c>
    </row>
    <row r="22" spans="2:4" x14ac:dyDescent="0.3">
      <c r="B22" s="2"/>
      <c r="C22" s="2"/>
      <c r="D22" s="2" t="s">
        <v>40</v>
      </c>
    </row>
    <row r="23" spans="2:4" x14ac:dyDescent="0.3">
      <c r="B23" s="2"/>
      <c r="C23" s="2"/>
      <c r="D23" s="2" t="s">
        <v>41</v>
      </c>
    </row>
    <row r="24" spans="2:4" x14ac:dyDescent="0.3">
      <c r="B24" s="2"/>
      <c r="C24" s="2"/>
      <c r="D24" s="2" t="s">
        <v>42</v>
      </c>
    </row>
    <row r="25" spans="2:4" x14ac:dyDescent="0.3">
      <c r="B25" s="2"/>
      <c r="C25" s="2"/>
      <c r="D25" s="2" t="s">
        <v>43</v>
      </c>
    </row>
    <row r="26" spans="2:4" x14ac:dyDescent="0.3">
      <c r="B26" s="2"/>
      <c r="C26" s="2"/>
      <c r="D26" s="2" t="s">
        <v>44</v>
      </c>
    </row>
    <row r="27" spans="2:4" x14ac:dyDescent="0.3">
      <c r="B27" s="2"/>
      <c r="C27" s="2"/>
      <c r="D27" s="2" t="s">
        <v>45</v>
      </c>
    </row>
    <row r="28" spans="2:4" x14ac:dyDescent="0.3">
      <c r="B28" s="2"/>
      <c r="C28" s="2"/>
      <c r="D28" s="2" t="s">
        <v>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AB7D6-DD1A-42F5-AC05-6CFD1D273682}">
  <dimension ref="B1:AQ9"/>
  <sheetViews>
    <sheetView showGridLines="0" tabSelected="1" zoomScale="70" zoomScaleNormal="70" workbookViewId="0">
      <selection activeCell="AG7" sqref="AG7"/>
    </sheetView>
  </sheetViews>
  <sheetFormatPr defaultRowHeight="14.4" x14ac:dyDescent="0.3"/>
  <cols>
    <col min="1" max="1" width="2.109375" customWidth="1"/>
    <col min="2" max="2" width="5.21875" customWidth="1"/>
    <col min="3" max="3" width="4.77734375" customWidth="1"/>
    <col min="4" max="4" width="3.44140625" bestFit="1" customWidth="1"/>
    <col min="5" max="5" width="4.88671875" bestFit="1" customWidth="1"/>
    <col min="6" max="6" width="4.33203125" bestFit="1" customWidth="1"/>
    <col min="7" max="7" width="4.33203125" customWidth="1"/>
    <col min="8" max="8" width="5.109375" customWidth="1"/>
    <col min="9" max="9" width="5.5546875" customWidth="1"/>
    <col min="10" max="10" width="3.44140625" bestFit="1" customWidth="1"/>
    <col min="11" max="11" width="4.88671875" bestFit="1" customWidth="1"/>
    <col min="12" max="12" width="4.33203125" bestFit="1" customWidth="1"/>
    <col min="13" max="13" width="1.21875" customWidth="1"/>
    <col min="14" max="14" width="4.88671875" customWidth="1"/>
    <col min="15" max="15" width="3.5546875" bestFit="1" customWidth="1"/>
    <col min="16" max="16" width="4" bestFit="1" customWidth="1"/>
    <col min="17" max="17" width="5" bestFit="1" customWidth="1"/>
    <col min="18" max="18" width="5" customWidth="1"/>
    <col min="19" max="19" width="1.88671875" customWidth="1"/>
    <col min="20" max="20" width="5.6640625" customWidth="1"/>
    <col min="21" max="21" width="3.5546875" bestFit="1" customWidth="1"/>
    <col min="22" max="22" width="4" bestFit="1" customWidth="1"/>
    <col min="23" max="23" width="5" bestFit="1" customWidth="1"/>
    <col min="24" max="24" width="5" customWidth="1"/>
    <col min="25" max="25" width="2.33203125" customWidth="1"/>
    <col min="26" max="26" width="12.44140625" customWidth="1"/>
    <col min="27" max="27" width="16.44140625" customWidth="1"/>
    <col min="28" max="28" width="0.109375" customWidth="1"/>
    <col min="29" max="29" width="5" bestFit="1" customWidth="1"/>
    <col min="30" max="30" width="2.33203125" customWidth="1"/>
    <col min="31" max="31" width="10.33203125" style="3" customWidth="1"/>
    <col min="32" max="32" width="23" style="3" customWidth="1"/>
    <col min="33" max="33" width="28.88671875" style="3" customWidth="1"/>
    <col min="34" max="34" width="13.109375" style="3" customWidth="1"/>
    <col min="35" max="35" width="62.5546875" style="3" customWidth="1"/>
  </cols>
  <sheetData>
    <row r="1" spans="2:43" ht="21" x14ac:dyDescent="0.4">
      <c r="B1" s="8" t="s">
        <v>66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8" t="s">
        <v>65</v>
      </c>
    </row>
    <row r="2" spans="2:43" ht="21" x14ac:dyDescent="0.4">
      <c r="B2" s="8" t="s">
        <v>72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8"/>
    </row>
    <row r="3" spans="2:43" x14ac:dyDescent="0.3">
      <c r="AE3" s="28" t="s">
        <v>63</v>
      </c>
      <c r="AF3" s="28"/>
      <c r="AG3" s="28"/>
      <c r="AH3" s="28"/>
      <c r="AI3" s="28"/>
    </row>
    <row r="4" spans="2:43" x14ac:dyDescent="0.3">
      <c r="B4" s="6" t="s">
        <v>62</v>
      </c>
      <c r="C4" s="6"/>
      <c r="D4" s="6"/>
      <c r="E4" s="6"/>
      <c r="F4" s="6"/>
      <c r="H4" s="6" t="s">
        <v>61</v>
      </c>
      <c r="I4" s="6"/>
      <c r="J4" s="6"/>
      <c r="K4" s="6"/>
      <c r="L4" s="6"/>
      <c r="N4" s="6" t="s">
        <v>60</v>
      </c>
      <c r="O4" s="6"/>
      <c r="P4" s="6"/>
      <c r="Q4" s="6"/>
      <c r="R4" s="6"/>
      <c r="T4" s="6" t="s">
        <v>59</v>
      </c>
      <c r="U4" s="6"/>
      <c r="V4" s="6"/>
      <c r="W4" s="6"/>
      <c r="X4" s="6"/>
      <c r="Z4" s="6" t="s">
        <v>71</v>
      </c>
      <c r="AA4" s="6"/>
      <c r="AB4" s="6"/>
      <c r="AC4" s="6"/>
      <c r="AE4" s="28"/>
      <c r="AF4" s="28"/>
      <c r="AG4" s="28"/>
      <c r="AH4" s="28"/>
      <c r="AI4" s="28"/>
    </row>
    <row r="5" spans="2:43" ht="25.2" customHeight="1" x14ac:dyDescent="0.3">
      <c r="B5" s="10" t="str">
        <f>[1]_summary!D2</f>
        <v>Level</v>
      </c>
      <c r="C5" s="10" t="str">
        <f>[1]_summary!E2</f>
        <v>exi</v>
      </c>
      <c r="D5" s="10" t="str">
        <f>[1]_summary!F2</f>
        <v>shl</v>
      </c>
      <c r="E5" s="10" t="str">
        <f>[1]_summary!G2</f>
        <v>med</v>
      </c>
      <c r="F5" s="10" t="str">
        <f>[1]_summary!H2</f>
        <v>dep</v>
      </c>
      <c r="G5" s="4"/>
      <c r="H5" s="10" t="str">
        <f>[2]_summary!D2</f>
        <v>Level</v>
      </c>
      <c r="I5" s="10" t="str">
        <f>[2]_summary!E2</f>
        <v>exi</v>
      </c>
      <c r="J5" s="10" t="str">
        <f>[2]_summary!F2</f>
        <v>shl</v>
      </c>
      <c r="K5" s="10" t="str">
        <f>[2]_summary!G2</f>
        <v>med</v>
      </c>
      <c r="L5" s="10" t="str">
        <f>[2]_summary!H2</f>
        <v>dep</v>
      </c>
      <c r="M5" s="4"/>
      <c r="N5" s="10" t="str">
        <f>[3]_summary!D2</f>
        <v>Level</v>
      </c>
      <c r="O5" s="10" t="str">
        <f>[3]_summary!E2</f>
        <v>exi</v>
      </c>
      <c r="P5" s="10" t="str">
        <f>[3]_summary!F2</f>
        <v>shl</v>
      </c>
      <c r="Q5" s="10" t="str">
        <f>[3]_summary!G2</f>
        <v>med</v>
      </c>
      <c r="R5" s="10" t="str">
        <f>[3]_summary!H2</f>
        <v>dep</v>
      </c>
      <c r="S5" s="4"/>
      <c r="T5" s="10" t="str">
        <f>[4]_summary!D2</f>
        <v>Level</v>
      </c>
      <c r="U5" s="10" t="str">
        <f>[4]_summary!E2</f>
        <v>exi</v>
      </c>
      <c r="V5" s="10" t="str">
        <f>[4]_summary!F2</f>
        <v>shl</v>
      </c>
      <c r="W5" s="10" t="str">
        <f>[4]_summary!G2</f>
        <v>med</v>
      </c>
      <c r="X5" s="10" t="str">
        <f>[4]_summary!H2</f>
        <v>dep</v>
      </c>
      <c r="Z5" s="29" t="str">
        <f>[5]_summary!B1</f>
        <v>Reduction in energy need</v>
      </c>
      <c r="AA5" s="29"/>
      <c r="AB5" s="29"/>
      <c r="AC5" s="29"/>
      <c r="AE5" s="7" t="s">
        <v>64</v>
      </c>
      <c r="AF5" s="11" t="s">
        <v>67</v>
      </c>
      <c r="AG5" s="11" t="s">
        <v>68</v>
      </c>
      <c r="AH5" s="11" t="s">
        <v>69</v>
      </c>
      <c r="AI5" s="11" t="s">
        <v>70</v>
      </c>
      <c r="AK5">
        <v>2020</v>
      </c>
      <c r="AL5">
        <f t="shared" ref="AL5:AQ5" si="0">AK5+5</f>
        <v>2025</v>
      </c>
      <c r="AM5">
        <f t="shared" si="0"/>
        <v>2030</v>
      </c>
      <c r="AN5">
        <f t="shared" si="0"/>
        <v>2035</v>
      </c>
      <c r="AO5">
        <f t="shared" si="0"/>
        <v>2040</v>
      </c>
      <c r="AP5">
        <f t="shared" si="0"/>
        <v>2045</v>
      </c>
      <c r="AQ5">
        <f t="shared" si="0"/>
        <v>2050</v>
      </c>
    </row>
    <row r="6" spans="2:43" ht="57.6" x14ac:dyDescent="0.3">
      <c r="B6" s="14">
        <f>[1]_summary!D3</f>
        <v>1</v>
      </c>
      <c r="C6" s="12">
        <f>[1]_summary!E3</f>
        <v>0.01</v>
      </c>
      <c r="D6" s="12">
        <f>[1]_summary!F3</f>
        <v>0</v>
      </c>
      <c r="E6" s="12">
        <f>[1]_summary!G3</f>
        <v>0</v>
      </c>
      <c r="F6" s="12">
        <f>[1]_summary!H3</f>
        <v>0</v>
      </c>
      <c r="G6" s="12"/>
      <c r="H6" s="14">
        <f>[2]_summary!D3</f>
        <v>1</v>
      </c>
      <c r="I6" s="12">
        <f>[2]_summary!E3</f>
        <v>1E-3</v>
      </c>
      <c r="J6" s="12">
        <f>[2]_summary!F3</f>
        <v>0</v>
      </c>
      <c r="K6" s="12">
        <f>[2]_summary!G3</f>
        <v>0</v>
      </c>
      <c r="L6" s="12">
        <f>[2]_summary!H3</f>
        <v>0</v>
      </c>
      <c r="M6" s="12"/>
      <c r="N6" s="14">
        <f>[3]_summary!D3</f>
        <v>1</v>
      </c>
      <c r="O6" s="12">
        <f>[3]_summary!E3</f>
        <v>0</v>
      </c>
      <c r="P6" s="12">
        <f>[3]_summary!F3</f>
        <v>0.8</v>
      </c>
      <c r="Q6" s="12">
        <f>[3]_summary!G3</f>
        <v>0.15</v>
      </c>
      <c r="R6" s="12">
        <f>[3]_summary!H3</f>
        <v>0.05</v>
      </c>
      <c r="S6" s="12"/>
      <c r="T6" s="14">
        <f>[4]_summary!D3</f>
        <v>1</v>
      </c>
      <c r="U6" s="12">
        <f>[4]_summary!E3</f>
        <v>0</v>
      </c>
      <c r="V6" s="12">
        <f>[4]_summary!F3</f>
        <v>0.8</v>
      </c>
      <c r="W6" s="12">
        <f>[4]_summary!G3</f>
        <v>0.15</v>
      </c>
      <c r="X6" s="12">
        <f>[4]_summary!H3</f>
        <v>0.05</v>
      </c>
      <c r="Y6" s="13"/>
      <c r="Z6" s="12" t="str">
        <f>[5]_summary!B2</f>
        <v xml:space="preserve">renovation </v>
      </c>
      <c r="AA6" s="12" t="str">
        <f>[5]_summary!C2</f>
        <v>construction</v>
      </c>
      <c r="AB6" s="12">
        <f>[5]_summary!D2</f>
        <v>0</v>
      </c>
      <c r="AC6" s="12">
        <f>[5]_summary!E2</f>
        <v>0</v>
      </c>
      <c r="AE6" s="3" t="str">
        <f>"The annual renovation rate is "&amp;TEXT(C6,"0.0#%")&amp;". "</f>
        <v xml:space="preserve">The annual renovation rate is 1.0%. </v>
      </c>
      <c r="AF6" s="3" t="str">
        <f>TEXT(P6,"0%")&amp;" of the renovations are shallow ("&amp;TEXT($AC$7,"0%")&amp;" energy demand), "&amp;TEXT(Q6,"0%")&amp;" are medium ("&amp;TEXT($AC$8,"0%")&amp;") and "&amp;TEXT(R6,"0%")&amp;" are deep ("&amp;TEXT($AC$9,"0%")&amp;"). "</f>
        <v xml:space="preserve">80% of the renovations are shallow (-30% energy demand), 15% are medium (-40%) and 5% are deep (-60%). </v>
      </c>
      <c r="AG6" s="3" t="str">
        <f>TEXT(V6,"0%")&amp;" of new construction has the lowest level of efficiency, "&amp;TEXT(W6,"0%")&amp;" is medium efficient and "&amp;TEXT(X6,"0%")&amp;"  is highly efficient. "</f>
        <v xml:space="preserve">80% of new construction has the lowest level of efficiency, 15% is medium efficient and 5%  is highly efficient. </v>
      </c>
      <c r="AH6" s="3" t="str">
        <f>"The demolition rate is "&amp;TEXT(I6,"0.0##%")&amp;"/annum. "</f>
        <v xml:space="preserve">The demolition rate is 0.1%/annum. </v>
      </c>
      <c r="AI6" s="3" t="str">
        <f>AE6&amp;AF6&amp;AG6&amp;AH6</f>
        <v xml:space="preserve">The annual renovation rate is 1.0%. 80% of the renovations are shallow (-30% energy demand), 15% are medium (-40%) and 5% are deep (-60%). 80% of new construction has the lowest level of efficiency, 15% is medium efficient and 5%  is highly efficient. The demolition rate is 0.1%/annum. </v>
      </c>
      <c r="AK6">
        <v>0</v>
      </c>
      <c r="AL6">
        <f t="shared" ref="AL6:AP9" si="1">($AQ6-$AK6)/6+AK6</f>
        <v>5.5000000000000014E-2</v>
      </c>
      <c r="AM6">
        <f t="shared" si="1"/>
        <v>0.11000000000000003</v>
      </c>
      <c r="AN6">
        <f t="shared" si="1"/>
        <v>0.16500000000000004</v>
      </c>
      <c r="AO6">
        <f t="shared" si="1"/>
        <v>0.22000000000000006</v>
      </c>
      <c r="AP6">
        <f t="shared" si="1"/>
        <v>0.27500000000000008</v>
      </c>
      <c r="AQ6">
        <f>-(V6*$AC$7+W6*$AC$8+X6*$AC$9)</f>
        <v>0.33000000000000007</v>
      </c>
    </row>
    <row r="7" spans="2:43" ht="72" x14ac:dyDescent="0.3">
      <c r="B7" s="14">
        <f>[1]_summary!D4</f>
        <v>2</v>
      </c>
      <c r="C7" s="12">
        <f>[1]_summary!E4</f>
        <v>1.4999999999999999E-2</v>
      </c>
      <c r="D7" s="12">
        <f>[1]_summary!F4</f>
        <v>0</v>
      </c>
      <c r="E7" s="12">
        <f>[1]_summary!G4</f>
        <v>0</v>
      </c>
      <c r="F7" s="12">
        <f>[1]_summary!H4</f>
        <v>0</v>
      </c>
      <c r="G7" s="12"/>
      <c r="H7" s="14">
        <f>[2]_summary!D4</f>
        <v>2</v>
      </c>
      <c r="I7" s="12">
        <f>[2]_summary!E4</f>
        <v>4.0000000000000001E-3</v>
      </c>
      <c r="J7" s="12">
        <f>[2]_summary!F4</f>
        <v>0</v>
      </c>
      <c r="K7" s="12">
        <f>[2]_summary!G4</f>
        <v>0</v>
      </c>
      <c r="L7" s="12">
        <f>[2]_summary!H4</f>
        <v>0</v>
      </c>
      <c r="M7" s="12"/>
      <c r="N7" s="14">
        <f>[3]_summary!D4</f>
        <v>2</v>
      </c>
      <c r="O7" s="12">
        <f>[3]_summary!E4</f>
        <v>0</v>
      </c>
      <c r="P7" s="12">
        <f>[3]_summary!F4</f>
        <v>0.2</v>
      </c>
      <c r="Q7" s="12">
        <f>[3]_summary!G4</f>
        <v>0.6</v>
      </c>
      <c r="R7" s="12">
        <f>[3]_summary!H4</f>
        <v>0.2</v>
      </c>
      <c r="S7" s="12"/>
      <c r="T7" s="14">
        <f>[4]_summary!D4</f>
        <v>2</v>
      </c>
      <c r="U7" s="12">
        <f>[4]_summary!E4</f>
        <v>0</v>
      </c>
      <c r="V7" s="12">
        <f>[4]_summary!F4</f>
        <v>0.2</v>
      </c>
      <c r="W7" s="12">
        <f>[4]_summary!G4</f>
        <v>0.6</v>
      </c>
      <c r="X7" s="12">
        <f>[4]_summary!H4</f>
        <v>0.2</v>
      </c>
      <c r="Y7" s="13"/>
      <c r="Z7" s="12" t="str">
        <f>[5]_summary!B3</f>
        <v>shallow</v>
      </c>
      <c r="AA7" s="12" t="str">
        <f>[5]_summary!C3</f>
        <v>lowest efficiency</v>
      </c>
      <c r="AB7" s="12">
        <f>[5]_summary!D3</f>
        <v>0</v>
      </c>
      <c r="AC7" s="12">
        <f>[5]_summary!E3</f>
        <v>-0.30000000000000004</v>
      </c>
      <c r="AE7" s="3" t="str">
        <f>"The annual renovation rate is "&amp;TEXT(C7,"0.0#%")&amp;". "</f>
        <v xml:space="preserve">The annual renovation rate is 1.5%. </v>
      </c>
      <c r="AF7" s="3" t="str">
        <f>TEXT(P7,"0%")&amp;" of the renovations are shallow ("&amp;TEXT($AC$7,"0%")&amp;" energy demand), "&amp;TEXT(Q7,"0%")&amp;" are medium ("&amp;TEXT($AC$8,"0%")&amp;") and "&amp;TEXT(R7,"0%")&amp;" are deep ("&amp;TEXT($AC$9,"0%")&amp;"). "</f>
        <v xml:space="preserve">20% of the renovations are shallow (-30% energy demand), 60% are medium (-40%) and 20% are deep (-60%). </v>
      </c>
      <c r="AG7" s="3" t="str">
        <f t="shared" ref="AG7:AG9" si="2">TEXT(V7,"0%")&amp;" of new construction has the lowest level of efficiency, "&amp;TEXT(W7,"0%")&amp;" is medium efficient and "&amp;TEXT(X7,"0%")&amp;"  is highly efficient. "</f>
        <v xml:space="preserve">20% of new construction has the lowest level of efficiency, 60% is medium efficient and 20%  is highly efficient. </v>
      </c>
      <c r="AH7" s="3" t="str">
        <f>"The demolition rate is "&amp;TEXT(I7,"0.0##%")&amp;"/annum. "</f>
        <v xml:space="preserve">The demolition rate is 0.4%/annum. </v>
      </c>
      <c r="AI7" s="3" t="str">
        <f>AE7&amp;AF7&amp;AG7&amp;AH7</f>
        <v xml:space="preserve">The annual renovation rate is 1.5%. 20% of the renovations are shallow (-30% energy demand), 60% are medium (-40%) and 20% are deep (-60%). 20% of new construction has the lowest level of efficiency, 60% is medium efficient and 20%  is highly efficient. The demolition rate is 0.4%/annum. </v>
      </c>
      <c r="AK7">
        <v>0</v>
      </c>
      <c r="AL7">
        <f t="shared" si="1"/>
        <v>6.9999999999999993E-2</v>
      </c>
      <c r="AM7">
        <f t="shared" si="1"/>
        <v>0.13999999999999999</v>
      </c>
      <c r="AN7">
        <f t="shared" si="1"/>
        <v>0.20999999999999996</v>
      </c>
      <c r="AO7">
        <f t="shared" si="1"/>
        <v>0.27999999999999997</v>
      </c>
      <c r="AP7">
        <f t="shared" si="1"/>
        <v>0.35</v>
      </c>
      <c r="AQ7">
        <f t="shared" ref="AQ7:AQ9" si="3">-(V7*$AC$7+W7*$AC$8+X7*$AC$9)</f>
        <v>0.42</v>
      </c>
    </row>
    <row r="8" spans="2:43" ht="72" x14ac:dyDescent="0.3">
      <c r="B8" s="14">
        <f>[1]_summary!D5</f>
        <v>3</v>
      </c>
      <c r="C8" s="12">
        <f>[1]_summary!E5</f>
        <v>0.02</v>
      </c>
      <c r="D8" s="12">
        <f>[1]_summary!F5</f>
        <v>0</v>
      </c>
      <c r="E8" s="12">
        <f>[1]_summary!G5</f>
        <v>0</v>
      </c>
      <c r="F8" s="12">
        <f>[1]_summary!H5</f>
        <v>0</v>
      </c>
      <c r="G8" s="12"/>
      <c r="H8" s="14">
        <f>[2]_summary!D5</f>
        <v>3</v>
      </c>
      <c r="I8" s="12">
        <f>[2]_summary!E5</f>
        <v>7.0000000000000001E-3</v>
      </c>
      <c r="J8" s="12">
        <f>[2]_summary!F5</f>
        <v>0</v>
      </c>
      <c r="K8" s="12">
        <f>[2]_summary!G5</f>
        <v>0</v>
      </c>
      <c r="L8" s="12">
        <f>[2]_summary!H5</f>
        <v>0</v>
      </c>
      <c r="M8" s="12"/>
      <c r="N8" s="14">
        <f>[3]_summary!D5</f>
        <v>3</v>
      </c>
      <c r="O8" s="12">
        <f>[3]_summary!E5</f>
        <v>0</v>
      </c>
      <c r="P8" s="12">
        <f>[3]_summary!F5</f>
        <v>0.1</v>
      </c>
      <c r="Q8" s="12">
        <f>[3]_summary!G5</f>
        <v>0.7</v>
      </c>
      <c r="R8" s="12">
        <f>[3]_summary!H5</f>
        <v>0.2</v>
      </c>
      <c r="S8" s="12"/>
      <c r="T8" s="14">
        <f>[4]_summary!D5</f>
        <v>3</v>
      </c>
      <c r="U8" s="12">
        <f>[4]_summary!E5</f>
        <v>0</v>
      </c>
      <c r="V8" s="12">
        <f>[4]_summary!F5</f>
        <v>0.1</v>
      </c>
      <c r="W8" s="12">
        <f>[4]_summary!G5</f>
        <v>0.7</v>
      </c>
      <c r="X8" s="12">
        <f>[4]_summary!H5</f>
        <v>0.2</v>
      </c>
      <c r="Y8" s="13"/>
      <c r="Z8" s="12" t="str">
        <f>[5]_summary!B4</f>
        <v>medium</v>
      </c>
      <c r="AA8" s="12" t="str">
        <f>[5]_summary!C4</f>
        <v>medium efficiency</v>
      </c>
      <c r="AB8" s="12">
        <f>[5]_summary!D4</f>
        <v>0</v>
      </c>
      <c r="AC8" s="12">
        <f>[5]_summary!E4</f>
        <v>-0.4</v>
      </c>
      <c r="AE8" s="3" t="str">
        <f>"The annual renovation rate is "&amp;TEXT(C8,"0.0#%")&amp;". "</f>
        <v xml:space="preserve">The annual renovation rate is 2.0%. </v>
      </c>
      <c r="AF8" s="3" t="str">
        <f>TEXT(P8,"0%")&amp;" of the renovations are shallow ("&amp;TEXT($AC$7,"0%")&amp;" energy demand), "&amp;TEXT(Q8,"0%")&amp;" are medium ("&amp;TEXT($AC$8,"0%")&amp;") and "&amp;TEXT(R8,"0%")&amp;" are deep ("&amp;TEXT($AC$9,"0%")&amp;"). "</f>
        <v xml:space="preserve">10% of the renovations are shallow (-30% energy demand), 70% are medium (-40%) and 20% are deep (-60%). </v>
      </c>
      <c r="AG8" s="3" t="str">
        <f t="shared" si="2"/>
        <v xml:space="preserve">10% of new construction has the lowest level of efficiency, 70% is medium efficient and 20%  is highly efficient. </v>
      </c>
      <c r="AH8" s="3" t="str">
        <f>"The demolition rate is "&amp;TEXT(I8,"0.0##%")&amp;"/annum. "</f>
        <v xml:space="preserve">The demolition rate is 0.7%/annum. </v>
      </c>
      <c r="AI8" s="3" t="str">
        <f>AE8&amp;AF8&amp;AG8&amp;AH8</f>
        <v xml:space="preserve">The annual renovation rate is 2.0%. 10% of the renovations are shallow (-30% energy demand), 70% are medium (-40%) and 20% are deep (-60%). 10% of new construction has the lowest level of efficiency, 70% is medium efficient and 20%  is highly efficient. The demolition rate is 0.7%/annum. </v>
      </c>
      <c r="AK8">
        <v>0</v>
      </c>
      <c r="AL8">
        <f t="shared" si="1"/>
        <v>7.166666666666667E-2</v>
      </c>
      <c r="AM8">
        <f t="shared" si="1"/>
        <v>0.14333333333333334</v>
      </c>
      <c r="AN8">
        <f t="shared" si="1"/>
        <v>0.21500000000000002</v>
      </c>
      <c r="AO8">
        <f t="shared" si="1"/>
        <v>0.28666666666666668</v>
      </c>
      <c r="AP8">
        <f t="shared" si="1"/>
        <v>0.35833333333333334</v>
      </c>
      <c r="AQ8">
        <f t="shared" si="3"/>
        <v>0.43</v>
      </c>
    </row>
    <row r="9" spans="2:43" ht="72" x14ac:dyDescent="0.3">
      <c r="B9" s="14">
        <f>[1]_summary!D6</f>
        <v>4</v>
      </c>
      <c r="C9" s="12">
        <f>[1]_summary!E6</f>
        <v>0.03</v>
      </c>
      <c r="D9" s="12">
        <f>[1]_summary!F6</f>
        <v>0</v>
      </c>
      <c r="E9" s="12">
        <f>[1]_summary!G6</f>
        <v>0</v>
      </c>
      <c r="F9" s="12">
        <f>[1]_summary!H6</f>
        <v>0</v>
      </c>
      <c r="G9" s="12"/>
      <c r="H9" s="14">
        <f>[2]_summary!D6</f>
        <v>4</v>
      </c>
      <c r="I9" s="12">
        <f>[2]_summary!E6</f>
        <v>0.01</v>
      </c>
      <c r="J9" s="12">
        <f>[2]_summary!F6</f>
        <v>0</v>
      </c>
      <c r="K9" s="12">
        <f>[2]_summary!G6</f>
        <v>0</v>
      </c>
      <c r="L9" s="12">
        <f>[2]_summary!H6</f>
        <v>0</v>
      </c>
      <c r="M9" s="12"/>
      <c r="N9" s="14">
        <f>[3]_summary!D6</f>
        <v>4</v>
      </c>
      <c r="O9" s="12">
        <f>[3]_summary!E6</f>
        <v>0</v>
      </c>
      <c r="P9" s="12">
        <f>[3]_summary!F6</f>
        <v>0</v>
      </c>
      <c r="Q9" s="12">
        <f>[3]_summary!G6</f>
        <v>0.3</v>
      </c>
      <c r="R9" s="12">
        <f>[3]_summary!H6</f>
        <v>0.7</v>
      </c>
      <c r="S9" s="12"/>
      <c r="T9" s="14">
        <f>[4]_summary!D6</f>
        <v>4</v>
      </c>
      <c r="U9" s="12">
        <f>[4]_summary!E6</f>
        <v>0</v>
      </c>
      <c r="V9" s="12">
        <f>[4]_summary!F6</f>
        <v>0</v>
      </c>
      <c r="W9" s="12">
        <f>[4]_summary!G6</f>
        <v>0.3</v>
      </c>
      <c r="X9" s="12">
        <f>[4]_summary!H6</f>
        <v>0.7</v>
      </c>
      <c r="Y9" s="13"/>
      <c r="Z9" s="12" t="str">
        <f>[5]_summary!B5</f>
        <v>deep</v>
      </c>
      <c r="AA9" s="12" t="str">
        <f>[5]_summary!C5</f>
        <v>highly efficient</v>
      </c>
      <c r="AB9" s="12">
        <f>[5]_summary!D5</f>
        <v>0</v>
      </c>
      <c r="AC9" s="12">
        <f>[5]_summary!E5</f>
        <v>-0.6</v>
      </c>
      <c r="AE9" s="3" t="str">
        <f>"The annual renovation rate is "&amp;TEXT(C9,"0.0#%")&amp;". "</f>
        <v xml:space="preserve">The annual renovation rate is 3.0%. </v>
      </c>
      <c r="AF9" s="3" t="str">
        <f>TEXT(P9,"0%")&amp;" of the renovations are shallow ("&amp;TEXT($AC$7,"0%")&amp;" energy demand), "&amp;TEXT(Q9,"0%")&amp;" are medium ("&amp;TEXT($AC$8,"0%")&amp;") and "&amp;TEXT(R9,"0%")&amp;" are deep ("&amp;TEXT($AC$9,"0%")&amp;"). "</f>
        <v xml:space="preserve">0% of the renovations are shallow (-30% energy demand), 30% are medium (-40%) and 70% are deep (-60%). </v>
      </c>
      <c r="AG9" s="3" t="str">
        <f t="shared" si="2"/>
        <v xml:space="preserve">0% of new construction has the lowest level of efficiency, 30% is medium efficient and 70%  is highly efficient. </v>
      </c>
      <c r="AH9" s="3" t="str">
        <f>"The demolition rate is "&amp;TEXT(I9,"0.0##%")&amp;"/annum. "</f>
        <v xml:space="preserve">The demolition rate is 1.0%/annum. </v>
      </c>
      <c r="AI9" s="3" t="str">
        <f>AE9&amp;AF9&amp;AG9&amp;AH9</f>
        <v xml:space="preserve">The annual renovation rate is 3.0%. 0% of the renovations are shallow (-30% energy demand), 30% are medium (-40%) and 70% are deep (-60%). 0% of new construction has the lowest level of efficiency, 30% is medium efficient and 70%  is highly efficient. The demolition rate is 1.0%/annum. </v>
      </c>
      <c r="AK9">
        <v>0</v>
      </c>
      <c r="AL9">
        <f t="shared" si="1"/>
        <v>9.0000000000000011E-2</v>
      </c>
      <c r="AM9">
        <f t="shared" si="1"/>
        <v>0.18000000000000002</v>
      </c>
      <c r="AN9">
        <f t="shared" si="1"/>
        <v>0.27</v>
      </c>
      <c r="AO9">
        <f t="shared" si="1"/>
        <v>0.36000000000000004</v>
      </c>
      <c r="AP9">
        <f t="shared" si="1"/>
        <v>0.45000000000000007</v>
      </c>
      <c r="AQ9">
        <f t="shared" si="3"/>
        <v>0.54</v>
      </c>
    </row>
  </sheetData>
  <mergeCells count="2">
    <mergeCell ref="AE3:AI4"/>
    <mergeCell ref="Z5:AC5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3EA2-33EC-4064-9EB7-AFC7C9451486}">
  <dimension ref="B1:Y43"/>
  <sheetViews>
    <sheetView showGridLines="0" zoomScale="70" zoomScaleNormal="70" workbookViewId="0">
      <selection activeCell="M37" sqref="M37:M39"/>
    </sheetView>
  </sheetViews>
  <sheetFormatPr defaultRowHeight="14.4" x14ac:dyDescent="0.3"/>
  <cols>
    <col min="1" max="1" width="2.109375" customWidth="1"/>
    <col min="2" max="4" width="11.44140625" customWidth="1"/>
    <col min="5" max="5" width="8.88671875" customWidth="1"/>
    <col min="6" max="6" width="8" customWidth="1"/>
    <col min="7" max="7" width="8.21875" customWidth="1"/>
    <col min="8" max="8" width="6.21875" bestFit="1" customWidth="1"/>
    <col min="9" max="9" width="6.88671875" customWidth="1"/>
    <col min="10" max="10" width="5.5546875" customWidth="1"/>
    <col min="11" max="11" width="11.44140625" customWidth="1"/>
    <col min="12" max="12" width="19.6640625" style="3" customWidth="1"/>
    <col min="13" max="13" width="18.6640625" style="3" customWidth="1"/>
    <col min="14" max="14" width="34.6640625" style="3" customWidth="1"/>
    <col min="15" max="17" width="36" style="3" customWidth="1"/>
  </cols>
  <sheetData>
    <row r="1" spans="2:25" ht="21" x14ac:dyDescent="0.4">
      <c r="B1" s="8" t="s">
        <v>66</v>
      </c>
      <c r="C1" s="9"/>
      <c r="D1" s="9"/>
      <c r="E1" s="9"/>
      <c r="F1" s="9"/>
      <c r="G1" s="9"/>
      <c r="H1" s="9"/>
      <c r="I1" s="9"/>
      <c r="J1" s="9"/>
      <c r="K1" s="9"/>
      <c r="L1" s="8" t="s">
        <v>65</v>
      </c>
    </row>
    <row r="3" spans="2:25" ht="21" x14ac:dyDescent="0.4">
      <c r="B3" s="8" t="s">
        <v>73</v>
      </c>
      <c r="C3" s="9"/>
      <c r="D3" s="9"/>
      <c r="E3" s="9"/>
      <c r="F3" s="9"/>
      <c r="G3" s="9"/>
      <c r="H3" s="9"/>
      <c r="I3" s="9"/>
      <c r="J3" s="9"/>
      <c r="K3" s="9"/>
      <c r="L3" s="27" t="s">
        <v>83</v>
      </c>
      <c r="O3" s="27" t="s">
        <v>84</v>
      </c>
      <c r="P3" s="27"/>
      <c r="Q3" s="27"/>
    </row>
    <row r="4" spans="2:25" x14ac:dyDescent="0.3">
      <c r="O4" s="5"/>
      <c r="P4" s="5"/>
      <c r="Q4" s="5"/>
    </row>
    <row r="5" spans="2:25" x14ac:dyDescent="0.3">
      <c r="B5" s="10" t="s">
        <v>75</v>
      </c>
      <c r="C5" s="6"/>
      <c r="D5" s="6"/>
      <c r="E5" s="24"/>
      <c r="F5" s="6"/>
      <c r="H5" s="6"/>
      <c r="I5" s="6"/>
      <c r="J5" s="6"/>
      <c r="O5" s="5"/>
      <c r="P5" s="5"/>
      <c r="Q5" s="5"/>
      <c r="S5" t="s">
        <v>81</v>
      </c>
    </row>
    <row r="6" spans="2:25" s="3" customFormat="1" ht="28.8" x14ac:dyDescent="0.3">
      <c r="B6" s="23" t="str">
        <f>'[6]_eurostat_input new'!Q10</f>
        <v>gas-ff-natural</v>
      </c>
      <c r="C6" s="23" t="str">
        <f>'[6]_eurostat_input new'!R10</f>
        <v>liquid-ff-heatingoil</v>
      </c>
      <c r="D6" s="23" t="str">
        <f>'[6]_eurostat_input new'!S10</f>
        <v>solid-ff-coal</v>
      </c>
      <c r="E6" s="19">
        <f>'[6]_eurostat_input new'!V8</f>
        <v>0</v>
      </c>
      <c r="J6" s="17"/>
      <c r="L6" s="11" t="s">
        <v>80</v>
      </c>
      <c r="M6" s="11" t="s">
        <v>79</v>
      </c>
      <c r="N6" s="11" t="s">
        <v>70</v>
      </c>
      <c r="O6" s="11" t="s">
        <v>86</v>
      </c>
      <c r="P6" s="11" t="s">
        <v>85</v>
      </c>
      <c r="Q6" s="11" t="s">
        <v>87</v>
      </c>
      <c r="S6" s="3">
        <v>2020</v>
      </c>
      <c r="T6" s="3">
        <f t="shared" ref="T6:Y6" si="0">S6+5</f>
        <v>2025</v>
      </c>
      <c r="U6" s="3">
        <f t="shared" si="0"/>
        <v>2030</v>
      </c>
      <c r="V6" s="3">
        <f t="shared" si="0"/>
        <v>2035</v>
      </c>
      <c r="W6" s="3">
        <f t="shared" si="0"/>
        <v>2040</v>
      </c>
      <c r="X6" s="3">
        <f t="shared" si="0"/>
        <v>2045</v>
      </c>
      <c r="Y6" s="3">
        <f t="shared" si="0"/>
        <v>2050</v>
      </c>
    </row>
    <row r="7" spans="2:25" x14ac:dyDescent="0.3">
      <c r="B7" s="16">
        <f>'[6]_eurostat_input new'!Q8</f>
        <v>-0.05</v>
      </c>
      <c r="C7" s="16">
        <f>'[6]_eurostat_input new'!R8</f>
        <v>-0.1</v>
      </c>
      <c r="D7" s="16">
        <f>'[6]_eurostat_input new'!S8</f>
        <v>-0.3</v>
      </c>
      <c r="G7" s="22" t="str">
        <f>'[6]_eurostat_input new'!S1</f>
        <v>share of fossil</v>
      </c>
      <c r="H7" s="22"/>
      <c r="I7" s="22">
        <f>'[6]_eurostat_input new'!V1</f>
        <v>0.38704128013276784</v>
      </c>
      <c r="L7" s="30" t="str">
        <f>"Fossil fuel use reduction in 2050: gas "&amp;TEXT(B7,"0%")&amp;"; coal "&amp;TEXT(C7,"0%")&amp;"; oil "&amp;TEXT(D7,"0%")&amp;". "</f>
        <v xml:space="preserve">Fossil fuel use reduction in 2050: gas -5%; coal -10%; oil -30%. </v>
      </c>
      <c r="M7" s="30" t="str">
        <f>"These fuels are substituted by heat pumps ("&amp;TEXT($D9,"0%")&amp;") and biomass ("&amp;TEXT($E9,"0%")&amp;"). "</f>
        <v xml:space="preserve">These fuels are substituted by heat pumps (30%) and biomass (65%). </v>
      </c>
      <c r="N7" s="30" t="str">
        <f>L7&amp;M7</f>
        <v xml:space="preserve">Fossil fuel use reduction in 2050: gas -5%; coal -10%; oil -30%. These fuels are substituted by heat pumps (30%) and biomass (65%). </v>
      </c>
      <c r="O7" s="30" t="str">
        <f>"Partial fossil fuel phase out mainly for coal,. "</f>
        <v xml:space="preserve">Partial fossil fuel phase out mainly for coal,. </v>
      </c>
      <c r="P7" s="30" t="str">
        <f>" with a fossil fuel share in 2050 of "&amp;TEXT($I7,"0%")&amp;". "</f>
        <v xml:space="preserve"> with a fossil fuel share in 2050 of 39%. </v>
      </c>
      <c r="Q7" s="30" t="str">
        <f>O7&amp;P7</f>
        <v xml:space="preserve">Partial fossil fuel phase out mainly for coal,.  with a fossil fuel share in 2050 of 39%. </v>
      </c>
      <c r="S7" s="26">
        <v>0.42042513905959805</v>
      </c>
      <c r="T7">
        <f t="shared" ref="T7:X10" si="1">($Y7-$S7)/6+S7</f>
        <v>0.41486116257179301</v>
      </c>
      <c r="U7">
        <f t="shared" si="1"/>
        <v>0.40929718608398796</v>
      </c>
      <c r="V7">
        <f t="shared" si="1"/>
        <v>0.40373320959618292</v>
      </c>
      <c r="W7">
        <f t="shared" si="1"/>
        <v>0.39816923310837787</v>
      </c>
      <c r="X7">
        <f t="shared" si="1"/>
        <v>0.39260525662057283</v>
      </c>
      <c r="Y7" s="25">
        <f>I7</f>
        <v>0.38704128013276784</v>
      </c>
    </row>
    <row r="8" spans="2:25" ht="43.2" x14ac:dyDescent="0.3">
      <c r="C8" s="19" t="str">
        <f>'[6]_eurostat_input new'!T10</f>
        <v>electricity-heatpumps</v>
      </c>
      <c r="D8" s="19" t="str">
        <f>'[6]_eurostat_input new'!U10</f>
        <v>heat-ambient</v>
      </c>
      <c r="E8" s="19" t="str">
        <f>'[6]_eurostat_input new'!V10</f>
        <v>solid-bio</v>
      </c>
      <c r="F8" s="19" t="str">
        <f>'[6]_eurostat_input new'!W10</f>
        <v>heat-geothermal</v>
      </c>
      <c r="G8" s="19" t="str">
        <f>'[6]_eurostat_input new'!X10</f>
        <v>heat-solar</v>
      </c>
      <c r="H8" s="19" t="str">
        <f>'[6]_eurostat_input new'!Y10</f>
        <v>gas-bio</v>
      </c>
      <c r="I8" s="19" t="str">
        <f>'[6]_eurostat_input new'!Z10</f>
        <v>liquid-bio</v>
      </c>
      <c r="L8" s="30"/>
      <c r="M8" s="30"/>
      <c r="N8" s="30"/>
      <c r="O8" s="30" t="s">
        <v>82</v>
      </c>
      <c r="P8" s="30" t="s">
        <v>82</v>
      </c>
      <c r="Q8" s="30"/>
      <c r="S8" s="26">
        <v>0.42042513905959805</v>
      </c>
      <c r="T8">
        <f t="shared" si="1"/>
        <v>0.38385302733258964</v>
      </c>
      <c r="U8">
        <f t="shared" si="1"/>
        <v>0.34728091560558122</v>
      </c>
      <c r="V8">
        <f t="shared" si="1"/>
        <v>0.3107088038785728</v>
      </c>
      <c r="W8">
        <f t="shared" si="1"/>
        <v>0.27413669215156439</v>
      </c>
      <c r="X8">
        <f t="shared" si="1"/>
        <v>0.23756458042455597</v>
      </c>
      <c r="Y8" s="25">
        <f>I17</f>
        <v>0.20099246869754753</v>
      </c>
    </row>
    <row r="9" spans="2:25" ht="14.4" customHeight="1" x14ac:dyDescent="0.3">
      <c r="B9" s="20">
        <f>'[6]_eurostat_input new'!S3</f>
        <v>1</v>
      </c>
      <c r="C9" s="21" t="s">
        <v>74</v>
      </c>
      <c r="D9" s="22">
        <f>'[6]_eurostat_input new'!U3</f>
        <v>0.3</v>
      </c>
      <c r="E9" s="22">
        <f>'[6]_eurostat_input new'!V3</f>
        <v>0.65</v>
      </c>
      <c r="F9" s="22">
        <f>'[6]_eurostat_input new'!W3</f>
        <v>0.01</v>
      </c>
      <c r="G9" s="22">
        <f>'[6]_eurostat_input new'!X3</f>
        <v>0.03</v>
      </c>
      <c r="H9" s="22">
        <f>'[6]_eurostat_input new'!Y3</f>
        <v>5.0000000000000001E-3</v>
      </c>
      <c r="I9" s="22">
        <f>'[6]_eurostat_input new'!Z3</f>
        <v>5.0000000000000001E-3</v>
      </c>
      <c r="L9" s="30"/>
      <c r="M9" s="30"/>
      <c r="N9" s="30"/>
      <c r="O9" s="30"/>
      <c r="P9" s="30"/>
      <c r="Q9" s="30"/>
      <c r="S9" s="26">
        <v>0.42042513905959805</v>
      </c>
      <c r="T9">
        <f t="shared" si="1"/>
        <v>0.37359905874448301</v>
      </c>
      <c r="U9">
        <f t="shared" si="1"/>
        <v>0.32677297842936798</v>
      </c>
      <c r="V9">
        <f t="shared" si="1"/>
        <v>0.27994689811425294</v>
      </c>
      <c r="W9">
        <f t="shared" si="1"/>
        <v>0.23312081779913793</v>
      </c>
      <c r="X9">
        <f t="shared" si="1"/>
        <v>0.18629473748402292</v>
      </c>
      <c r="Y9" s="25">
        <f>I27</f>
        <v>0.13946865716890797</v>
      </c>
    </row>
    <row r="10" spans="2:25" ht="14.4" customHeight="1" x14ac:dyDescent="0.3">
      <c r="B10" s="12" t="str">
        <f>'[6]_eurostat_input new'!S4</f>
        <v>gas-ff-natural</v>
      </c>
      <c r="C10" s="15">
        <f>'[6]_eurostat_input new'!T4</f>
        <v>-1.4999999999999999E-2</v>
      </c>
      <c r="D10" s="15">
        <f>'[6]_eurostat_input new'!U4</f>
        <v>-1.4999999999999999E-2</v>
      </c>
      <c r="E10" s="15">
        <f>'[6]_eurostat_input new'!V4</f>
        <v>-3.2500000000000001E-2</v>
      </c>
      <c r="F10" s="15">
        <f>'[6]_eurostat_input new'!W4</f>
        <v>-5.0000000000000001E-4</v>
      </c>
      <c r="G10" s="15">
        <f>'[6]_eurostat_input new'!X4</f>
        <v>-1.5E-3</v>
      </c>
      <c r="H10" s="15">
        <f>'[6]_eurostat_input new'!Y4</f>
        <v>-2.5000000000000001E-4</v>
      </c>
      <c r="I10" s="15">
        <f>'[6]_eurostat_input new'!Z4</f>
        <v>-2.5000000000000001E-4</v>
      </c>
      <c r="S10" s="26">
        <v>0.42042513905959805</v>
      </c>
      <c r="T10">
        <f t="shared" si="1"/>
        <v>0.35386004827897977</v>
      </c>
      <c r="U10">
        <f t="shared" si="1"/>
        <v>0.28729495749836148</v>
      </c>
      <c r="V10">
        <f t="shared" si="1"/>
        <v>0.2207298667177432</v>
      </c>
      <c r="W10">
        <f t="shared" si="1"/>
        <v>0.15416477593712491</v>
      </c>
      <c r="X10">
        <f t="shared" si="1"/>
        <v>8.7599685156506638E-2</v>
      </c>
      <c r="Y10" s="25">
        <f>I37</f>
        <v>2.1034594375888449E-2</v>
      </c>
    </row>
    <row r="11" spans="2:25" x14ac:dyDescent="0.3">
      <c r="B11" s="12" t="str">
        <f>'[6]_eurostat_input new'!S5</f>
        <v>liquid-ff-heatingoil</v>
      </c>
      <c r="C11" s="15">
        <f>'[6]_eurostat_input new'!T5</f>
        <v>-0.03</v>
      </c>
      <c r="D11" s="15">
        <f>'[6]_eurostat_input new'!U5</f>
        <v>-0.03</v>
      </c>
      <c r="E11" s="15">
        <f>'[6]_eurostat_input new'!V5</f>
        <v>-6.5000000000000002E-2</v>
      </c>
      <c r="F11" s="15">
        <f>'[6]_eurostat_input new'!W5</f>
        <v>-1E-3</v>
      </c>
      <c r="G11" s="15">
        <f>'[6]_eurostat_input new'!X5</f>
        <v>-3.0000000000000001E-3</v>
      </c>
      <c r="H11" s="15">
        <f>'[6]_eurostat_input new'!Y5</f>
        <v>-5.0000000000000001E-4</v>
      </c>
      <c r="I11" s="15">
        <f>'[6]_eurostat_input new'!Z5</f>
        <v>-5.0000000000000001E-4</v>
      </c>
    </row>
    <row r="12" spans="2:25" x14ac:dyDescent="0.3">
      <c r="B12" s="12" t="str">
        <f>'[6]_eurostat_input new'!S6</f>
        <v>solid-ff-coal</v>
      </c>
      <c r="C12" s="15">
        <f>'[6]_eurostat_input new'!T6</f>
        <v>-0.09</v>
      </c>
      <c r="D12" s="15">
        <f>'[6]_eurostat_input new'!U6</f>
        <v>-0.09</v>
      </c>
      <c r="E12" s="15">
        <f>'[6]_eurostat_input new'!V6</f>
        <v>-0.19500000000000001</v>
      </c>
      <c r="F12" s="15">
        <f>'[6]_eurostat_input new'!W6</f>
        <v>-3.0000000000000001E-3</v>
      </c>
      <c r="G12" s="15">
        <f>'[6]_eurostat_input new'!X6</f>
        <v>-8.9999999999999993E-3</v>
      </c>
      <c r="H12" s="15">
        <f>'[6]_eurostat_input new'!Y6</f>
        <v>-1.5E-3</v>
      </c>
      <c r="I12" s="15">
        <f>'[6]_eurostat_input new'!Z6</f>
        <v>-1.5E-3</v>
      </c>
    </row>
    <row r="13" spans="2:25" x14ac:dyDescent="0.3">
      <c r="B13" s="12">
        <f>'[6]_eurostat_input new'!S7</f>
        <v>0</v>
      </c>
      <c r="C13" s="18">
        <f>'[6]_eurostat_input new'!T7</f>
        <v>0.25</v>
      </c>
      <c r="D13" s="18">
        <f>'[6]_eurostat_input new'!U7</f>
        <v>0.75</v>
      </c>
      <c r="E13" s="18">
        <f>'[6]_eurostat_input new'!V7</f>
        <v>1</v>
      </c>
      <c r="F13" s="18">
        <f>'[6]_eurostat_input new'!W7</f>
        <v>1</v>
      </c>
      <c r="G13" s="18">
        <f>'[6]_eurostat_input new'!X7</f>
        <v>1</v>
      </c>
      <c r="H13" s="18">
        <f>'[6]_eurostat_input new'!Y7</f>
        <v>1</v>
      </c>
      <c r="I13" s="18">
        <f>'[6]_eurostat_input new'!Z7</f>
        <v>1</v>
      </c>
    </row>
    <row r="14" spans="2:25" x14ac:dyDescent="0.3">
      <c r="E14" s="12"/>
      <c r="F14" s="12"/>
      <c r="G14" s="12"/>
      <c r="H14" s="12"/>
      <c r="I14" s="12"/>
      <c r="J14" s="12"/>
      <c r="K14" s="12"/>
    </row>
    <row r="15" spans="2:25" x14ac:dyDescent="0.3">
      <c r="B15" s="10" t="s">
        <v>76</v>
      </c>
      <c r="D15" s="6"/>
      <c r="E15" s="6"/>
      <c r="F15" s="6"/>
      <c r="G15" s="6"/>
      <c r="H15" s="6"/>
      <c r="J15" s="12"/>
      <c r="K15" s="12"/>
    </row>
    <row r="16" spans="2:25" ht="28.8" customHeight="1" x14ac:dyDescent="0.3">
      <c r="B16" s="23" t="str">
        <f>'[6]_eurostat_input new'!AD10</f>
        <v>gas-ff-natural</v>
      </c>
      <c r="C16" s="23" t="str">
        <f>'[6]_eurostat_input new'!AE10</f>
        <v>liquid-ff-heatingoil</v>
      </c>
      <c r="D16" s="23" t="str">
        <f>'[6]_eurostat_input new'!AF10</f>
        <v>solid-ff-coal</v>
      </c>
      <c r="E16" s="3"/>
      <c r="F16" s="3"/>
      <c r="G16" s="3"/>
      <c r="H16" s="3"/>
      <c r="I16" s="3"/>
    </row>
    <row r="17" spans="2:17" ht="14.4" customHeight="1" x14ac:dyDescent="0.3">
      <c r="B17" s="16">
        <f>'[6]_eurostat_input new'!AD8</f>
        <v>-0.5</v>
      </c>
      <c r="C17" s="16">
        <f>'[6]_eurostat_input new'!AE8</f>
        <v>-0.5</v>
      </c>
      <c r="D17" s="16">
        <f>'[6]_eurostat_input new'!AF8</f>
        <v>-0.8</v>
      </c>
      <c r="G17" s="22" t="str">
        <f>'[6]_eurostat_input new'!AF1</f>
        <v>share of fossil</v>
      </c>
      <c r="I17" s="22">
        <f>'[6]_eurostat_input new'!AI1</f>
        <v>0.20099246869754753</v>
      </c>
      <c r="L17" s="30" t="str">
        <f>"Fossil fuel use reduction in 2050: gas "&amp;TEXT(B17,"0%")&amp;"; coal "&amp;TEXT(C17,"0%")&amp;"; oil "&amp;TEXT(D17,"0%")&amp;". "</f>
        <v xml:space="preserve">Fossil fuel use reduction in 2050: gas -50%; coal -50%; oil -80%. </v>
      </c>
      <c r="M17" s="30" t="str">
        <f>"These fuels are substituted by heat pumps ("&amp;TEXT($D19,"0%")&amp;") and biomass ("&amp;TEXT($E19,"0%")&amp;"). "</f>
        <v xml:space="preserve">These fuels are substituted by heat pumps (40%) and biomass (50%). </v>
      </c>
      <c r="N17" s="30" t="str">
        <f>L17&amp;M17</f>
        <v xml:space="preserve">Fossil fuel use reduction in 2050: gas -50%; coal -50%; oil -80%. These fuels are substituted by heat pumps (40%) and biomass (50%). </v>
      </c>
      <c r="O17" s="30" t="str">
        <f>"Coal is largely phased-out, gas and heatingfuels are reduced by half. "</f>
        <v xml:space="preserve">Coal is largely phased-out, gas and heatingfuels are reduced by half. </v>
      </c>
      <c r="P17" s="30" t="str">
        <f>" with a fossil fuel share in 2050 of "&amp;TEXT($I17,"0%")&amp;". "</f>
        <v xml:space="preserve"> with a fossil fuel share in 2050 of 20%. </v>
      </c>
      <c r="Q17" s="30" t="str">
        <f>O17&amp;P17</f>
        <v xml:space="preserve">Coal is largely phased-out, gas and heatingfuels are reduced by half.  with a fossil fuel share in 2050 of 20%. </v>
      </c>
    </row>
    <row r="18" spans="2:17" ht="43.2" x14ac:dyDescent="0.3">
      <c r="C18" s="19" t="str">
        <f>'[6]_eurostat_input new'!AG10</f>
        <v>electricity-heatpumps</v>
      </c>
      <c r="D18" s="19" t="str">
        <f>'[6]_eurostat_input new'!AH10</f>
        <v>heat-ambient</v>
      </c>
      <c r="E18" s="19" t="str">
        <f>'[6]_eurostat_input new'!AI10</f>
        <v>solid-bio</v>
      </c>
      <c r="F18" s="19" t="str">
        <f>'[6]_eurostat_input new'!AJ10</f>
        <v>heat-geothermal</v>
      </c>
      <c r="G18" s="19" t="str">
        <f>'[6]_eurostat_input new'!AK10</f>
        <v>heat-solar</v>
      </c>
      <c r="H18" s="19" t="str">
        <f>'[6]_eurostat_input new'!AL10</f>
        <v>gas-bio</v>
      </c>
      <c r="I18" s="19" t="str">
        <f>'[6]_eurostat_input new'!AM10</f>
        <v>liquid-bio</v>
      </c>
      <c r="L18" s="30"/>
      <c r="M18" s="30"/>
      <c r="N18" s="30"/>
      <c r="O18" s="30" t="s">
        <v>82</v>
      </c>
      <c r="P18" s="30" t="s">
        <v>82</v>
      </c>
      <c r="Q18" s="30"/>
    </row>
    <row r="19" spans="2:17" x14ac:dyDescent="0.3">
      <c r="B19" s="20">
        <f>'[6]_eurostat_input new'!AE3</f>
        <v>1</v>
      </c>
      <c r="C19" s="21" t="s">
        <v>74</v>
      </c>
      <c r="D19" s="22">
        <f>'[6]_eurostat_input new'!AH3</f>
        <v>0.4</v>
      </c>
      <c r="E19" s="22">
        <f>'[6]_eurostat_input new'!AI3</f>
        <v>0.5</v>
      </c>
      <c r="F19" s="22">
        <f>'[6]_eurostat_input new'!AJ3</f>
        <v>0.02</v>
      </c>
      <c r="G19" s="22">
        <f>'[6]_eurostat_input new'!AK3</f>
        <v>0.06</v>
      </c>
      <c r="H19" s="22">
        <f>'[6]_eurostat_input new'!AL3</f>
        <v>0.01</v>
      </c>
      <c r="I19" s="22">
        <f>'[6]_eurostat_input new'!AM3</f>
        <v>0.01</v>
      </c>
      <c r="L19" s="30"/>
      <c r="M19" s="30"/>
      <c r="N19" s="30"/>
      <c r="O19" s="30"/>
      <c r="P19" s="30"/>
      <c r="Q19" s="30"/>
    </row>
    <row r="20" spans="2:17" x14ac:dyDescent="0.3">
      <c r="B20" s="12" t="str">
        <f>'[6]_eurostat_input new'!AF4</f>
        <v>gas-ff-natural</v>
      </c>
      <c r="C20" s="15">
        <f>'[6]_eurostat_input new'!AG4</f>
        <v>-0.2</v>
      </c>
      <c r="D20" s="15">
        <f>'[6]_eurostat_input new'!AH4</f>
        <v>-0.2</v>
      </c>
      <c r="E20" s="15">
        <f>'[6]_eurostat_input new'!AI4</f>
        <v>-0.25</v>
      </c>
      <c r="F20" s="15">
        <f>'[6]_eurostat_input new'!AJ4</f>
        <v>-0.01</v>
      </c>
      <c r="G20" s="15">
        <f>'[6]_eurostat_input new'!AK4</f>
        <v>-0.03</v>
      </c>
      <c r="H20" s="15">
        <f>'[6]_eurostat_input new'!AL4</f>
        <v>-5.0000000000000001E-3</v>
      </c>
      <c r="I20" s="15">
        <f>'[6]_eurostat_input new'!AM4</f>
        <v>-5.0000000000000001E-3</v>
      </c>
    </row>
    <row r="21" spans="2:17" x14ac:dyDescent="0.3">
      <c r="B21" s="12" t="str">
        <f>'[6]_eurostat_input new'!AF5</f>
        <v>liquid-ff-heatingoil</v>
      </c>
      <c r="C21" s="15">
        <f>'[6]_eurostat_input new'!AG5</f>
        <v>-0.2</v>
      </c>
      <c r="D21" s="15">
        <f>'[6]_eurostat_input new'!AH5</f>
        <v>-0.2</v>
      </c>
      <c r="E21" s="15">
        <f>'[6]_eurostat_input new'!AI5</f>
        <v>-0.25</v>
      </c>
      <c r="F21" s="15">
        <f>'[6]_eurostat_input new'!AJ5</f>
        <v>-0.01</v>
      </c>
      <c r="G21" s="15">
        <f>'[6]_eurostat_input new'!AK5</f>
        <v>-0.03</v>
      </c>
      <c r="H21" s="15">
        <f>'[6]_eurostat_input new'!AL5</f>
        <v>-5.0000000000000001E-3</v>
      </c>
      <c r="I21" s="15">
        <f>'[6]_eurostat_input new'!AM5</f>
        <v>-5.0000000000000001E-3</v>
      </c>
    </row>
    <row r="22" spans="2:17" x14ac:dyDescent="0.3">
      <c r="B22" s="12" t="str">
        <f>'[6]_eurostat_input new'!AF6</f>
        <v>solid-ff-coal</v>
      </c>
      <c r="C22" s="15">
        <f>'[6]_eurostat_input new'!AG6</f>
        <v>-0.32000000000000006</v>
      </c>
      <c r="D22" s="15">
        <f>'[6]_eurostat_input new'!AH6</f>
        <v>-0.32000000000000006</v>
      </c>
      <c r="E22" s="15">
        <f>'[6]_eurostat_input new'!AI6</f>
        <v>-0.4</v>
      </c>
      <c r="F22" s="15">
        <f>'[6]_eurostat_input new'!AJ6</f>
        <v>-1.6E-2</v>
      </c>
      <c r="G22" s="15">
        <f>'[6]_eurostat_input new'!AK6</f>
        <v>-4.8000000000000001E-2</v>
      </c>
      <c r="H22" s="15">
        <f>'[6]_eurostat_input new'!AL6</f>
        <v>-8.0000000000000002E-3</v>
      </c>
      <c r="I22" s="15">
        <f>'[6]_eurostat_input new'!AM6</f>
        <v>-8.0000000000000002E-3</v>
      </c>
    </row>
    <row r="23" spans="2:17" x14ac:dyDescent="0.3">
      <c r="B23" s="12">
        <f>'[6]_eurostat_input new'!AF7</f>
        <v>0</v>
      </c>
      <c r="C23" s="18">
        <f>'[6]_eurostat_input new'!AG7</f>
        <v>0.25</v>
      </c>
      <c r="D23" s="18">
        <f>'[6]_eurostat_input new'!AH7</f>
        <v>0.75</v>
      </c>
      <c r="E23" s="18">
        <f>'[6]_eurostat_input new'!AI7</f>
        <v>1</v>
      </c>
      <c r="F23" s="18">
        <f>'[6]_eurostat_input new'!AJ7</f>
        <v>1</v>
      </c>
      <c r="G23" s="18">
        <f>'[6]_eurostat_input new'!AK7</f>
        <v>1</v>
      </c>
      <c r="H23" s="18">
        <f>'[6]_eurostat_input new'!AL7</f>
        <v>1</v>
      </c>
      <c r="I23" s="18">
        <f>'[6]_eurostat_input new'!AM7</f>
        <v>1</v>
      </c>
    </row>
    <row r="25" spans="2:17" x14ac:dyDescent="0.3">
      <c r="B25" s="10" t="s">
        <v>77</v>
      </c>
      <c r="C25" s="6"/>
      <c r="D25" s="6"/>
      <c r="F25" s="6"/>
      <c r="G25" s="6"/>
      <c r="H25" s="6"/>
      <c r="I25" s="6"/>
    </row>
    <row r="26" spans="2:17" ht="28.8" x14ac:dyDescent="0.3">
      <c r="B26" s="23" t="str">
        <f>'[6]_eurostat_input new'!AQ10</f>
        <v>gas-ff-natural</v>
      </c>
      <c r="C26" s="23" t="str">
        <f>'[6]_eurostat_input new'!AR10</f>
        <v>liquid-ff-heatingoil</v>
      </c>
      <c r="D26" s="23" t="str">
        <f>'[6]_eurostat_input new'!AS10</f>
        <v>solid-ff-coal</v>
      </c>
      <c r="E26" s="3"/>
      <c r="F26" s="3"/>
      <c r="G26" s="3"/>
      <c r="H26" s="3"/>
      <c r="I26" s="3"/>
    </row>
    <row r="27" spans="2:17" ht="14.4" customHeight="1" x14ac:dyDescent="0.3">
      <c r="B27" s="16">
        <f>'[6]_eurostat_input new'!AQ8</f>
        <v>-0.65</v>
      </c>
      <c r="C27" s="16">
        <f>'[6]_eurostat_input new'!AR8</f>
        <v>-0.65</v>
      </c>
      <c r="D27" s="16">
        <f>'[6]_eurostat_input new'!AS8</f>
        <v>-0.9</v>
      </c>
      <c r="G27" s="22" t="str">
        <f>'[6]_eurostat_input new'!AS1</f>
        <v>share of fossil</v>
      </c>
      <c r="I27" s="22">
        <f>'[6]_eurostat_input new'!AV1</f>
        <v>0.13946865716890797</v>
      </c>
      <c r="L27" s="30" t="str">
        <f>"Fossil fuel use reduction in 2050: gas "&amp;TEXT(B27,"0%")&amp;"; coal "&amp;TEXT(C27,"0%")&amp;"; oil "&amp;TEXT(D27,"0%")&amp;". "</f>
        <v xml:space="preserve">Fossil fuel use reduction in 2050: gas -65%; coal -65%; oil -90%. </v>
      </c>
      <c r="M27" s="30" t="str">
        <f>"These fuels are substituted by heat pumps ("&amp;TEXT($D29,"0%")&amp;") and biomass ("&amp;TEXT($E29,"0%")&amp;"). "</f>
        <v xml:space="preserve">These fuels are substituted by heat pumps (50%) and biomass (35%). </v>
      </c>
      <c r="N27" s="30" t="str">
        <f>L27&amp;M27</f>
        <v xml:space="preserve">Fossil fuel use reduction in 2050: gas -65%; coal -65%; oil -90%. These fuels are substituted by heat pumps (50%) and biomass (35%). </v>
      </c>
      <c r="O27" s="30" t="str">
        <f>"Coal almost dissapeared, gas and heatingfuels largely phased-out, "</f>
        <v xml:space="preserve">Coal almost dissapeared, gas and heatingfuels largely phased-out, </v>
      </c>
      <c r="P27" s="30" t="str">
        <f>" with a fossil fuel share in 2050 of "&amp;TEXT($I27,"0%")&amp;". "</f>
        <v xml:space="preserve"> with a fossil fuel share in 2050 of 14%. </v>
      </c>
      <c r="Q27" s="30" t="str">
        <f>O27&amp;P27</f>
        <v xml:space="preserve">Coal almost dissapeared, gas and heatingfuels largely phased-out,  with a fossil fuel share in 2050 of 14%. </v>
      </c>
    </row>
    <row r="28" spans="2:17" ht="43.2" x14ac:dyDescent="0.3">
      <c r="C28" s="19" t="str">
        <f>'[6]_eurostat_input new'!AT10</f>
        <v>electricity-heatpumps</v>
      </c>
      <c r="D28" s="19" t="str">
        <f>'[6]_eurostat_input new'!AU10</f>
        <v>heat-ambient</v>
      </c>
      <c r="E28" s="19" t="str">
        <f>'[6]_eurostat_input new'!AV10</f>
        <v>solid-bio</v>
      </c>
      <c r="F28" s="19" t="str">
        <f>'[6]_eurostat_input new'!AW10</f>
        <v>heat-geothermal</v>
      </c>
      <c r="G28" s="19" t="str">
        <f>'[6]_eurostat_input new'!AX10</f>
        <v>heat-solar</v>
      </c>
      <c r="H28" s="19" t="str">
        <f>'[6]_eurostat_input new'!AY10</f>
        <v>gas-bio</v>
      </c>
      <c r="I28" s="19" t="str">
        <f>'[6]_eurostat_input new'!AZ10</f>
        <v>liquid-bio</v>
      </c>
      <c r="L28" s="30"/>
      <c r="M28" s="30"/>
      <c r="N28" s="30"/>
      <c r="O28" s="30" t="s">
        <v>82</v>
      </c>
      <c r="P28" s="30" t="s">
        <v>82</v>
      </c>
      <c r="Q28" s="30"/>
    </row>
    <row r="29" spans="2:17" ht="14.4" customHeight="1" x14ac:dyDescent="0.3">
      <c r="B29" s="20">
        <f>'[6]_eurostat_input new'!AR3</f>
        <v>1</v>
      </c>
      <c r="C29" s="21" t="s">
        <v>74</v>
      </c>
      <c r="D29" s="22">
        <f>'[6]_eurostat_input new'!AU3</f>
        <v>0.5</v>
      </c>
      <c r="E29" s="22">
        <f>'[6]_eurostat_input new'!AV3</f>
        <v>0.35</v>
      </c>
      <c r="F29" s="22">
        <f>'[6]_eurostat_input new'!AW3</f>
        <v>0.03</v>
      </c>
      <c r="G29" s="22">
        <f>'[6]_eurostat_input new'!AX3</f>
        <v>0.09</v>
      </c>
      <c r="H29" s="22">
        <f>'[6]_eurostat_input new'!AY3</f>
        <v>1.4999999999999999E-2</v>
      </c>
      <c r="I29" s="22">
        <f>'[6]_eurostat_input new'!AZ3</f>
        <v>1.4999999999999999E-2</v>
      </c>
      <c r="L29" s="30"/>
      <c r="M29" s="30"/>
      <c r="N29" s="30"/>
      <c r="O29" s="30"/>
      <c r="P29" s="30"/>
      <c r="Q29" s="30"/>
    </row>
    <row r="30" spans="2:17" x14ac:dyDescent="0.3">
      <c r="B30" s="12" t="str">
        <f>'[6]_eurostat_input new'!AS4</f>
        <v>gas-ff-natural</v>
      </c>
      <c r="C30" s="15">
        <f>'[6]_eurostat_input new'!AT4</f>
        <v>-0.32500000000000001</v>
      </c>
      <c r="D30" s="15">
        <f>'[6]_eurostat_input new'!AU4</f>
        <v>-0.32500000000000001</v>
      </c>
      <c r="E30" s="15">
        <f>'[6]_eurostat_input new'!AV4</f>
        <v>-0.22749999999999998</v>
      </c>
      <c r="F30" s="15">
        <f>'[6]_eurostat_input new'!AW4</f>
        <v>-1.95E-2</v>
      </c>
      <c r="G30" s="15">
        <f>'[6]_eurostat_input new'!AX4</f>
        <v>-5.8499999999999996E-2</v>
      </c>
      <c r="H30" s="15">
        <f>'[6]_eurostat_input new'!AY4</f>
        <v>-9.75E-3</v>
      </c>
      <c r="I30" s="15">
        <f>'[6]_eurostat_input new'!AZ4</f>
        <v>-9.75E-3</v>
      </c>
    </row>
    <row r="31" spans="2:17" x14ac:dyDescent="0.3">
      <c r="B31" s="12" t="str">
        <f>'[6]_eurostat_input new'!AS5</f>
        <v>liquid-ff-heatingoil</v>
      </c>
      <c r="C31" s="15">
        <f>'[6]_eurostat_input new'!AT5</f>
        <v>-0.32500000000000001</v>
      </c>
      <c r="D31" s="15">
        <f>'[6]_eurostat_input new'!AU5</f>
        <v>-0.32500000000000001</v>
      </c>
      <c r="E31" s="15">
        <f>'[6]_eurostat_input new'!AV5</f>
        <v>-0.22749999999999998</v>
      </c>
      <c r="F31" s="15">
        <f>'[6]_eurostat_input new'!AW5</f>
        <v>-1.95E-2</v>
      </c>
      <c r="G31" s="15">
        <f>'[6]_eurostat_input new'!AX5</f>
        <v>-5.8499999999999996E-2</v>
      </c>
      <c r="H31" s="15">
        <f>'[6]_eurostat_input new'!AY5</f>
        <v>-9.75E-3</v>
      </c>
      <c r="I31" s="15">
        <f>'[6]_eurostat_input new'!AZ5</f>
        <v>-9.75E-3</v>
      </c>
    </row>
    <row r="32" spans="2:17" x14ac:dyDescent="0.3">
      <c r="B32" s="12" t="str">
        <f>'[6]_eurostat_input new'!AS6</f>
        <v>solid-ff-coal</v>
      </c>
      <c r="C32" s="15">
        <f>'[6]_eurostat_input new'!AT6</f>
        <v>-0.45</v>
      </c>
      <c r="D32" s="15">
        <f>'[6]_eurostat_input new'!AU6</f>
        <v>-0.45</v>
      </c>
      <c r="E32" s="15">
        <f>'[6]_eurostat_input new'!AV6</f>
        <v>-0.315</v>
      </c>
      <c r="F32" s="15">
        <f>'[6]_eurostat_input new'!AW6</f>
        <v>-2.7E-2</v>
      </c>
      <c r="G32" s="15">
        <f>'[6]_eurostat_input new'!AX6</f>
        <v>-8.1000000000000003E-2</v>
      </c>
      <c r="H32" s="15">
        <f>'[6]_eurostat_input new'!AY6</f>
        <v>-1.35E-2</v>
      </c>
      <c r="I32" s="15">
        <f>'[6]_eurostat_input new'!AZ6</f>
        <v>-1.35E-2</v>
      </c>
    </row>
    <row r="33" spans="2:17" x14ac:dyDescent="0.3">
      <c r="B33" s="12">
        <f>'[6]_eurostat_input new'!AS7</f>
        <v>0</v>
      </c>
      <c r="C33" s="18">
        <f>'[6]_eurostat_input new'!AT7</f>
        <v>0.25</v>
      </c>
      <c r="D33" s="18">
        <f>'[6]_eurostat_input new'!AU7</f>
        <v>0.75</v>
      </c>
      <c r="E33" s="18">
        <f>'[6]_eurostat_input new'!AV7</f>
        <v>1</v>
      </c>
      <c r="F33" s="18">
        <f>'[6]_eurostat_input new'!AW7</f>
        <v>1</v>
      </c>
      <c r="G33" s="18">
        <f>'[6]_eurostat_input new'!AX7</f>
        <v>1</v>
      </c>
      <c r="H33" s="18">
        <f>'[6]_eurostat_input new'!AY7</f>
        <v>1</v>
      </c>
      <c r="I33" s="18">
        <f>'[6]_eurostat_input new'!AZ7</f>
        <v>1</v>
      </c>
    </row>
    <row r="35" spans="2:17" x14ac:dyDescent="0.3">
      <c r="B35" s="10" t="s">
        <v>78</v>
      </c>
      <c r="C35" s="6"/>
      <c r="D35" s="6"/>
      <c r="E35" s="6"/>
      <c r="F35" s="6"/>
      <c r="G35" s="6"/>
      <c r="H35" s="6"/>
      <c r="I35" s="6"/>
    </row>
    <row r="36" spans="2:17" ht="28.8" customHeight="1" x14ac:dyDescent="0.3">
      <c r="B36" s="23" t="str">
        <f>'[6]_eurostat_input new'!BD10</f>
        <v>gas-ff-natural</v>
      </c>
      <c r="C36" s="23" t="str">
        <f>'[6]_eurostat_input new'!BE10</f>
        <v>liquid-ff-heatingoil</v>
      </c>
      <c r="D36" s="23" t="str">
        <f>'[6]_eurostat_input new'!BF10</f>
        <v>solid-ff-coal</v>
      </c>
      <c r="E36" s="3"/>
      <c r="F36" s="3"/>
      <c r="G36" s="3"/>
      <c r="H36" s="3"/>
      <c r="I36" s="3"/>
    </row>
    <row r="37" spans="2:17" ht="14.4" customHeight="1" x14ac:dyDescent="0.3">
      <c r="B37" s="16">
        <f>'[6]_eurostat_input new'!BD8</f>
        <v>-0.95</v>
      </c>
      <c r="C37" s="16">
        <f>'[6]_eurostat_input new'!BE8</f>
        <v>-0.95</v>
      </c>
      <c r="D37" s="16">
        <f>'[6]_eurostat_input new'!BF8</f>
        <v>-0.95</v>
      </c>
      <c r="G37" s="22" t="str">
        <f>'[6]_eurostat_input new'!BF1</f>
        <v>share of fossil</v>
      </c>
      <c r="I37" s="22">
        <f>'[6]_eurostat_input new'!BI1</f>
        <v>2.1034594375888449E-2</v>
      </c>
      <c r="L37" s="30" t="str">
        <f>"Fossil fuel use reduction in 2050: gas "&amp;TEXT(B37,"0%")&amp;"; coal "&amp;TEXT(C37,"0%")&amp;"; oil "&amp;TEXT(D37,"0%")&amp;". "</f>
        <v xml:space="preserve">Fossil fuel use reduction in 2050: gas -95%; coal -95%; oil -95%. </v>
      </c>
      <c r="M37" s="30" t="str">
        <f>"These fuels are substituted by heat pumps ("&amp;TEXT($D39,"0%")&amp;") and biomass ("&amp;TEXT($E39,"0%")&amp;"). "</f>
        <v xml:space="preserve">These fuels are substituted by heat pumps (60%) and biomass (20%). </v>
      </c>
      <c r="N37" s="30" t="str">
        <f>L37&amp;M37</f>
        <v xml:space="preserve">Fossil fuel use reduction in 2050: gas -95%; coal -95%; oil -95%. These fuels are substituted by heat pumps (60%) and biomass (20%). </v>
      </c>
      <c r="O37" s="30" t="s">
        <v>88</v>
      </c>
      <c r="P37" s="30" t="str">
        <f>" with a fossil fuel share in 2050 of "&amp;TEXT($I37,"0%")&amp;". "</f>
        <v xml:space="preserve"> with a fossil fuel share in 2050 of 2%. </v>
      </c>
      <c r="Q37" s="30" t="str">
        <f>O37&amp;P37</f>
        <v xml:space="preserve">Fossil fuel phase-out of 95% for all fuels across Europe,  with a fossil fuel share in 2050 of 2%. </v>
      </c>
    </row>
    <row r="38" spans="2:17" ht="43.2" x14ac:dyDescent="0.3">
      <c r="C38" s="19" t="str">
        <f>'[6]_eurostat_input new'!BG10</f>
        <v>electricity-heatpumps</v>
      </c>
      <c r="D38" s="19" t="str">
        <f>'[6]_eurostat_input new'!BH10</f>
        <v>heat-ambient</v>
      </c>
      <c r="E38" s="19" t="str">
        <f>'[6]_eurostat_input new'!BI10</f>
        <v>solid-bio</v>
      </c>
      <c r="F38" s="19" t="str">
        <f>'[6]_eurostat_input new'!BJ10</f>
        <v>heat-geothermal</v>
      </c>
      <c r="G38" s="19" t="str">
        <f>'[6]_eurostat_input new'!BK10</f>
        <v>heat-solar</v>
      </c>
      <c r="H38" s="19" t="str">
        <f>'[6]_eurostat_input new'!BL10</f>
        <v>gas-bio</v>
      </c>
      <c r="I38" s="19" t="str">
        <f>'[6]_eurostat_input new'!BM10</f>
        <v>liquid-bio</v>
      </c>
      <c r="L38" s="30"/>
      <c r="M38" s="30"/>
      <c r="N38" s="30"/>
      <c r="O38" s="30"/>
      <c r="P38" s="30" t="s">
        <v>82</v>
      </c>
      <c r="Q38" s="30"/>
    </row>
    <row r="39" spans="2:17" x14ac:dyDescent="0.3">
      <c r="B39" s="20">
        <f>'[6]_eurostat_input new'!BE3</f>
        <v>1.0024999999999999</v>
      </c>
      <c r="C39" s="21" t="s">
        <v>74</v>
      </c>
      <c r="D39" s="22">
        <f>'[6]_eurostat_input new'!BH3</f>
        <v>0.6</v>
      </c>
      <c r="E39" s="22">
        <f>'[6]_eurostat_input new'!BI3</f>
        <v>0.19999999999999998</v>
      </c>
      <c r="F39" s="22">
        <f>'[6]_eurostat_input new'!BJ3</f>
        <v>4.0500000000000001E-2</v>
      </c>
      <c r="G39" s="22">
        <f>'[6]_eurostat_input new'!BK3</f>
        <v>0.1215</v>
      </c>
      <c r="H39" s="22">
        <f>'[6]_eurostat_input new'!BL3</f>
        <v>2.0250000000000001E-2</v>
      </c>
      <c r="I39" s="22">
        <f>'[6]_eurostat_input new'!BM3</f>
        <v>2.0250000000000001E-2</v>
      </c>
      <c r="L39" s="30"/>
      <c r="M39" s="30"/>
      <c r="N39" s="30"/>
      <c r="O39" s="30"/>
      <c r="P39" s="30"/>
      <c r="Q39" s="30"/>
    </row>
    <row r="40" spans="2:17" x14ac:dyDescent="0.3">
      <c r="B40" s="12" t="str">
        <f>'[6]_eurostat_input new'!BF4</f>
        <v>gas-ff-natural</v>
      </c>
      <c r="C40" s="15">
        <f>'[6]_eurostat_input new'!BG4</f>
        <v>-0.56999999999999995</v>
      </c>
      <c r="D40" s="15">
        <f>'[6]_eurostat_input new'!BH4</f>
        <v>-0.56999999999999995</v>
      </c>
      <c r="E40" s="15">
        <f>'[6]_eurostat_input new'!BI4</f>
        <v>-0.18999999999999997</v>
      </c>
      <c r="F40" s="15">
        <f>'[6]_eurostat_input new'!BJ4</f>
        <v>-3.8475000000000002E-2</v>
      </c>
      <c r="G40" s="15">
        <f>'[6]_eurostat_input new'!BK4</f>
        <v>-0.11542499999999999</v>
      </c>
      <c r="H40" s="15">
        <f>'[6]_eurostat_input new'!BL4</f>
        <v>-1.9237500000000001E-2</v>
      </c>
      <c r="I40" s="15">
        <f>'[6]_eurostat_input new'!BM4</f>
        <v>-1.9237500000000001E-2</v>
      </c>
    </row>
    <row r="41" spans="2:17" x14ac:dyDescent="0.3">
      <c r="B41" s="12" t="str">
        <f>'[6]_eurostat_input new'!BF5</f>
        <v>liquid-ff-heatingoil</v>
      </c>
      <c r="C41" s="15">
        <f>'[6]_eurostat_input new'!BG5</f>
        <v>-0.56999999999999995</v>
      </c>
      <c r="D41" s="15">
        <f>'[6]_eurostat_input new'!BH5</f>
        <v>-0.56999999999999995</v>
      </c>
      <c r="E41" s="15">
        <f>'[6]_eurostat_input new'!BI5</f>
        <v>-0.18999999999999997</v>
      </c>
      <c r="F41" s="15">
        <f>'[6]_eurostat_input new'!BJ5</f>
        <v>-3.8475000000000002E-2</v>
      </c>
      <c r="G41" s="15">
        <f>'[6]_eurostat_input new'!BK5</f>
        <v>-0.11542499999999999</v>
      </c>
      <c r="H41" s="15">
        <f>'[6]_eurostat_input new'!BL5</f>
        <v>-1.9237500000000001E-2</v>
      </c>
      <c r="I41" s="15">
        <f>'[6]_eurostat_input new'!BM5</f>
        <v>-1.9237500000000001E-2</v>
      </c>
    </row>
    <row r="42" spans="2:17" x14ac:dyDescent="0.3">
      <c r="B42" s="12" t="str">
        <f>'[6]_eurostat_input new'!BF6</f>
        <v>solid-ff-coal</v>
      </c>
      <c r="C42" s="15">
        <f>'[6]_eurostat_input new'!BG6</f>
        <v>-0.56999999999999995</v>
      </c>
      <c r="D42" s="15">
        <f>'[6]_eurostat_input new'!BH6</f>
        <v>-0.56999999999999995</v>
      </c>
      <c r="E42" s="15">
        <f>'[6]_eurostat_input new'!BI6</f>
        <v>-0.18999999999999997</v>
      </c>
      <c r="F42" s="15">
        <f>'[6]_eurostat_input new'!BJ6</f>
        <v>-3.8475000000000002E-2</v>
      </c>
      <c r="G42" s="15">
        <f>'[6]_eurostat_input new'!BK6</f>
        <v>-0.11542499999999999</v>
      </c>
      <c r="H42" s="15">
        <f>'[6]_eurostat_input new'!BL6</f>
        <v>-1.9237500000000001E-2</v>
      </c>
      <c r="I42" s="15">
        <f>'[6]_eurostat_input new'!BM6</f>
        <v>-1.9237500000000001E-2</v>
      </c>
    </row>
    <row r="43" spans="2:17" x14ac:dyDescent="0.3">
      <c r="B43" s="12">
        <f>'[6]_eurostat_input new'!BF7</f>
        <v>0</v>
      </c>
      <c r="C43" s="18">
        <f>'[6]_eurostat_input new'!BG7</f>
        <v>0.25</v>
      </c>
      <c r="D43" s="18">
        <f>'[6]_eurostat_input new'!BH7</f>
        <v>0.75</v>
      </c>
      <c r="E43" s="18">
        <f>'[6]_eurostat_input new'!BI7</f>
        <v>1</v>
      </c>
      <c r="F43" s="18">
        <f>'[6]_eurostat_input new'!BJ7</f>
        <v>1</v>
      </c>
      <c r="G43" s="18">
        <f>'[6]_eurostat_input new'!BK7</f>
        <v>1</v>
      </c>
      <c r="H43" s="18">
        <f>'[6]_eurostat_input new'!BL7</f>
        <v>1</v>
      </c>
      <c r="I43" s="18">
        <f>'[6]_eurostat_input new'!BM7</f>
        <v>1</v>
      </c>
    </row>
  </sheetData>
  <mergeCells count="24">
    <mergeCell ref="L37:L39"/>
    <mergeCell ref="M37:M39"/>
    <mergeCell ref="N37:N39"/>
    <mergeCell ref="O7:O9"/>
    <mergeCell ref="O17:O19"/>
    <mergeCell ref="O27:O29"/>
    <mergeCell ref="O37:O39"/>
    <mergeCell ref="L7:L9"/>
    <mergeCell ref="M7:M9"/>
    <mergeCell ref="N7:N9"/>
    <mergeCell ref="L17:L19"/>
    <mergeCell ref="M17:M19"/>
    <mergeCell ref="N17:N19"/>
    <mergeCell ref="N27:N29"/>
    <mergeCell ref="L27:L29"/>
    <mergeCell ref="M27:M29"/>
    <mergeCell ref="P27:P29"/>
    <mergeCell ref="Q27:Q29"/>
    <mergeCell ref="P37:P39"/>
    <mergeCell ref="Q37:Q39"/>
    <mergeCell ref="P7:P9"/>
    <mergeCell ref="Q7:Q9"/>
    <mergeCell ref="P17:P19"/>
    <mergeCell ref="Q17:Q1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overview</vt:lpstr>
      <vt:lpstr>energy need</vt:lpstr>
      <vt:lpstr>annual share</vt:lpstr>
      <vt:lpstr>cost</vt:lpstr>
      <vt:lpstr>information on data</vt:lpstr>
      <vt:lpstr>renovation scheme</vt:lpstr>
      <vt:lpstr>building envelope</vt:lpstr>
      <vt:lpstr>technology and fuel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Judit Kockat</dc:creator>
  <cp:lastModifiedBy>Judit</cp:lastModifiedBy>
  <dcterms:created xsi:type="dcterms:W3CDTF">2019-03-31T08:31:01Z</dcterms:created>
  <dcterms:modified xsi:type="dcterms:W3CDTF">2019-11-27T14:42:03Z</dcterms:modified>
</cp:coreProperties>
</file>